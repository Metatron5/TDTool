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xampp\htdocs\TDTool\Dokumentation\"/>
    </mc:Choice>
  </mc:AlternateContent>
  <xr:revisionPtr revIDLastSave="0" documentId="13_ncr:1_{9CE09D64-8ACA-4E8A-ADAD-A98A68E7F86F}" xr6:coauthVersionLast="33" xr6:coauthVersionMax="33" xr10:uidLastSave="{00000000-0000-0000-0000-000000000000}"/>
  <bookViews>
    <workbookView xWindow="0" yWindow="0" windowWidth="21570" windowHeight="7965" tabRatio="461" xr2:uid="{00000000-000D-0000-FFFF-FFFF00000000}"/>
  </bookViews>
  <sheets>
    <sheet name="Zeitplan" sheetId="1" r:id="rId1"/>
    <sheet name="Legende" sheetId="3" r:id="rId2"/>
  </sheets>
  <functionGroups builtInGroupCount="19"/>
  <definedNames>
    <definedName name="_xlnm.Print_Area" localSheetId="0">Zeitplan!$A$1:$BE$35</definedName>
    <definedName name="Farbe_Ist">Legende!$B$4</definedName>
    <definedName name="Farbe_Soll">Legende!$B$3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" i="1" l="1"/>
  <c r="AD6" i="1"/>
  <c r="Z6" i="1"/>
  <c r="V6" i="1"/>
  <c r="D23" i="1"/>
  <c r="C25" i="1"/>
  <c r="D25" i="1"/>
  <c r="C23" i="1"/>
  <c r="R6" i="1" l="1"/>
  <c r="N6" i="1"/>
  <c r="J6" i="1"/>
  <c r="F6" i="1"/>
  <c r="C16" i="1"/>
  <c r="C21" i="1"/>
  <c r="C28" i="1"/>
  <c r="C9" i="1"/>
  <c r="D21" i="1"/>
  <c r="D31" i="1"/>
  <c r="D12" i="1"/>
  <c r="C12" i="1"/>
  <c r="D14" i="1"/>
  <c r="C31" i="1"/>
  <c r="D9" i="1"/>
  <c r="D16" i="1"/>
  <c r="C19" i="1"/>
  <c r="D19" i="1"/>
  <c r="C14" i="1"/>
  <c r="D28" i="1"/>
  <c r="C9" i="3" l="1"/>
  <c r="C10" i="3" s="1"/>
  <c r="C12" i="3"/>
  <c r="C13" i="3" s="1"/>
</calcChain>
</file>

<file path=xl/sharedStrings.xml><?xml version="1.0" encoding="utf-8"?>
<sst xmlns="http://schemas.openxmlformats.org/spreadsheetml/2006/main" count="55" uniqueCount="33">
  <si>
    <t>Zeitplanung</t>
  </si>
  <si>
    <t>Informieren</t>
  </si>
  <si>
    <t>Planen</t>
  </si>
  <si>
    <t>Realisieren</t>
  </si>
  <si>
    <t>Kontrollieren</t>
  </si>
  <si>
    <t>Auswerten</t>
  </si>
  <si>
    <t>Bedeutung</t>
  </si>
  <si>
    <t>Farbindex</t>
  </si>
  <si>
    <t>Arbeitstage</t>
  </si>
  <si>
    <t>Dokumentation</t>
  </si>
  <si>
    <t>Soll:</t>
  </si>
  <si>
    <t>Ist:</t>
  </si>
  <si>
    <t>Gesamt in Stunden</t>
  </si>
  <si>
    <t>Soll</t>
  </si>
  <si>
    <t>Ist</t>
  </si>
  <si>
    <t>s</t>
  </si>
  <si>
    <t>i</t>
  </si>
  <si>
    <t>IST</t>
  </si>
  <si>
    <t>SOLL</t>
  </si>
  <si>
    <t>x</t>
  </si>
  <si>
    <t>Meilenstein</t>
  </si>
  <si>
    <t>2 Stunden Blöcke</t>
  </si>
  <si>
    <t>Fazit</t>
  </si>
  <si>
    <t>Aufwand in Stunden</t>
  </si>
  <si>
    <t>Tests an der Webseite prüfen</t>
  </si>
  <si>
    <t>Themenfindung</t>
  </si>
  <si>
    <t>UML</t>
  </si>
  <si>
    <t>test</t>
  </si>
  <si>
    <t>Homepage</t>
  </si>
  <si>
    <t>Login</t>
  </si>
  <si>
    <t>Regristrierung</t>
  </si>
  <si>
    <t>Use Cases</t>
  </si>
  <si>
    <t>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</si>
</sst>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7]dddd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32">
    <border>
      <left/>
      <right/>
      <top/>
      <bottom/>
      <diagonal/>
    </border>
    <border>
      <left style="thin">
        <color theme="1"/>
      </left>
      <right/>
      <top style="thin">
        <color theme="2"/>
      </top>
      <bottom style="thin">
        <color theme="0"/>
      </bottom>
      <diagonal/>
    </border>
    <border>
      <left/>
      <right style="thin">
        <color theme="1"/>
      </right>
      <top style="thin">
        <color theme="2"/>
      </top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/>
      <top style="thin">
        <color theme="2"/>
      </top>
      <bottom style="thin">
        <color theme="2"/>
      </bottom>
      <diagonal/>
    </border>
    <border>
      <left/>
      <right style="thin">
        <color theme="1"/>
      </right>
      <top style="thin">
        <color theme="2"/>
      </top>
      <bottom style="thin">
        <color theme="2"/>
      </bottom>
      <diagonal/>
    </border>
    <border>
      <left style="thin">
        <color theme="1"/>
      </left>
      <right/>
      <top style="thin">
        <color theme="1"/>
      </top>
      <bottom style="thin">
        <color theme="2"/>
      </bottom>
      <diagonal/>
    </border>
    <border>
      <left/>
      <right style="thin">
        <color theme="1"/>
      </right>
      <top style="thin">
        <color theme="1"/>
      </top>
      <bottom style="thin">
        <color theme="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</borders>
  <cellStyleXfs count="3">
    <xf numFmtId="0" fontId="0" fillId="0" borderId="0"/>
    <xf numFmtId="0" fontId="1" fillId="2" borderId="0" applyNumberFormat="0" applyFont="0" applyBorder="0" applyAlignment="0" applyProtection="0"/>
    <xf numFmtId="0" fontId="1" fillId="2" borderId="0" applyBorder="0"/>
  </cellStyleXfs>
  <cellXfs count="83">
    <xf numFmtId="0" fontId="0" fillId="0" borderId="0" xfId="0"/>
    <xf numFmtId="0" fontId="1" fillId="2" borderId="0" xfId="2"/>
    <xf numFmtId="0" fontId="1" fillId="2" borderId="0" xfId="2" applyBorder="1"/>
    <xf numFmtId="0" fontId="0" fillId="0" borderId="0" xfId="0" applyBorder="1"/>
    <xf numFmtId="0" fontId="1" fillId="2" borderId="0" xfId="2" applyProtection="1"/>
    <xf numFmtId="0" fontId="0" fillId="0" borderId="1" xfId="0" applyBorder="1" applyAlignment="1">
      <alignment horizontal="center"/>
    </xf>
    <xf numFmtId="0" fontId="1" fillId="2" borderId="2" xfId="2" applyBorder="1" applyProtection="1"/>
    <xf numFmtId="0" fontId="0" fillId="0" borderId="3" xfId="0" applyBorder="1" applyAlignment="1">
      <alignment horizontal="center"/>
    </xf>
    <xf numFmtId="0" fontId="1" fillId="2" borderId="4" xfId="2" applyBorder="1" applyProtection="1"/>
    <xf numFmtId="0" fontId="0" fillId="0" borderId="5" xfId="0" applyBorder="1" applyAlignment="1">
      <alignment horizontal="center"/>
    </xf>
    <xf numFmtId="0" fontId="1" fillId="2" borderId="6" xfId="2" applyBorder="1" applyProtection="1"/>
    <xf numFmtId="0" fontId="1" fillId="2" borderId="4" xfId="2" applyBorder="1"/>
    <xf numFmtId="0" fontId="0" fillId="5" borderId="9" xfId="2" applyFont="1" applyFill="1" applyBorder="1" applyProtection="1"/>
    <xf numFmtId="0" fontId="0" fillId="2" borderId="8" xfId="2" applyFont="1" applyBorder="1" applyAlignment="1" applyProtection="1">
      <alignment horizontal="center" vertical="center"/>
    </xf>
    <xf numFmtId="0" fontId="3" fillId="4" borderId="4" xfId="2" applyFont="1" applyFill="1" applyBorder="1" applyAlignment="1" applyProtection="1">
      <alignment horizontal="center"/>
    </xf>
    <xf numFmtId="0" fontId="1" fillId="2" borderId="7" xfId="2" applyBorder="1"/>
    <xf numFmtId="0" fontId="3" fillId="4" borderId="11" xfId="2" applyFont="1" applyFill="1" applyBorder="1" applyAlignment="1" applyProtection="1">
      <alignment horizontal="center"/>
    </xf>
    <xf numFmtId="0" fontId="0" fillId="2" borderId="6" xfId="2" applyFont="1" applyBorder="1" applyAlignment="1" applyProtection="1">
      <alignment horizontal="center"/>
    </xf>
    <xf numFmtId="0" fontId="0" fillId="2" borderId="10" xfId="2" applyFont="1" applyBorder="1" applyAlignment="1" applyProtection="1">
      <alignment horizont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vertical="top"/>
    </xf>
    <xf numFmtId="0" fontId="0" fillId="2" borderId="12" xfId="0" applyFill="1" applyBorder="1"/>
    <xf numFmtId="0" fontId="0" fillId="0" borderId="12" xfId="0" applyBorder="1"/>
    <xf numFmtId="0" fontId="2" fillId="0" borderId="12" xfId="0" applyFont="1" applyBorder="1" applyAlignment="1">
      <alignment horizontal="center" vertical="center"/>
    </xf>
    <xf numFmtId="0" fontId="0" fillId="2" borderId="0" xfId="0" applyFill="1" applyBorder="1" applyProtection="1"/>
    <xf numFmtId="0" fontId="0" fillId="0" borderId="0" xfId="0" applyBorder="1" applyProtection="1"/>
    <xf numFmtId="0" fontId="0" fillId="2" borderId="0" xfId="0" applyFill="1" applyBorder="1" applyAlignment="1" applyProtection="1">
      <alignment vertical="top"/>
    </xf>
    <xf numFmtId="0" fontId="0" fillId="2" borderId="0" xfId="0" applyFill="1" applyBorder="1" applyAlignment="1" applyProtection="1">
      <alignment horizontal="center"/>
    </xf>
    <xf numFmtId="0" fontId="4" fillId="2" borderId="0" xfId="1" applyFont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top"/>
    </xf>
    <xf numFmtId="0" fontId="0" fillId="2" borderId="0" xfId="0" applyFont="1" applyFill="1" applyBorder="1" applyProtection="1"/>
    <xf numFmtId="0" fontId="0" fillId="0" borderId="0" xfId="0" applyFont="1" applyBorder="1" applyProtection="1"/>
    <xf numFmtId="0" fontId="0" fillId="0" borderId="0" xfId="0" applyFont="1" applyBorder="1"/>
    <xf numFmtId="0" fontId="0" fillId="0" borderId="0" xfId="0" applyFont="1"/>
    <xf numFmtId="0" fontId="0" fillId="2" borderId="0" xfId="0" applyFill="1" applyBorder="1" applyAlignment="1" applyProtection="1">
      <alignment horizontal="center"/>
    </xf>
    <xf numFmtId="0" fontId="0" fillId="6" borderId="8" xfId="2" applyFont="1" applyFill="1" applyBorder="1" applyProtection="1"/>
    <xf numFmtId="0" fontId="5" fillId="0" borderId="0" xfId="0" applyFont="1" applyBorder="1" applyProtection="1"/>
    <xf numFmtId="0" fontId="5" fillId="0" borderId="17" xfId="0" applyFont="1" applyBorder="1" applyProtection="1"/>
    <xf numFmtId="0" fontId="5" fillId="0" borderId="19" xfId="0" applyFont="1" applyBorder="1" applyProtection="1"/>
    <xf numFmtId="0" fontId="0" fillId="2" borderId="18" xfId="0" applyFill="1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vertical="top"/>
    </xf>
    <xf numFmtId="0" fontId="0" fillId="2" borderId="23" xfId="0" applyFill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6" fillId="4" borderId="24" xfId="0" applyFont="1" applyFill="1" applyBorder="1" applyAlignment="1" applyProtection="1">
      <alignment vertical="top"/>
    </xf>
    <xf numFmtId="0" fontId="0" fillId="2" borderId="25" xfId="0" applyFill="1" applyBorder="1" applyAlignment="1" applyProtection="1">
      <alignment vertical="center"/>
      <protection locked="0"/>
    </xf>
    <xf numFmtId="0" fontId="0" fillId="0" borderId="25" xfId="0" applyBorder="1" applyAlignment="1" applyProtection="1">
      <alignment vertical="center"/>
      <protection locked="0"/>
    </xf>
    <xf numFmtId="0" fontId="7" fillId="6" borderId="18" xfId="0" applyFont="1" applyFill="1" applyBorder="1" applyAlignment="1" applyProtection="1">
      <alignment vertical="center"/>
      <protection locked="0"/>
    </xf>
    <xf numFmtId="0" fontId="0" fillId="6" borderId="18" xfId="0" applyFill="1" applyBorder="1" applyAlignment="1" applyProtection="1">
      <alignment vertical="center"/>
      <protection locked="0"/>
    </xf>
    <xf numFmtId="0" fontId="5" fillId="0" borderId="29" xfId="0" applyFont="1" applyBorder="1" applyProtection="1"/>
    <xf numFmtId="0" fontId="0" fillId="6" borderId="23" xfId="0" applyFill="1" applyBorder="1" applyAlignment="1" applyProtection="1">
      <alignment vertical="center"/>
      <protection locked="0"/>
    </xf>
    <xf numFmtId="0" fontId="0" fillId="6" borderId="25" xfId="0" applyFill="1" applyBorder="1" applyAlignment="1" applyProtection="1">
      <alignment vertical="center"/>
      <protection locked="0"/>
    </xf>
    <xf numFmtId="0" fontId="0" fillId="5" borderId="18" xfId="0" applyFill="1" applyBorder="1" applyAlignment="1" applyProtection="1">
      <alignment vertical="center"/>
      <protection locked="0"/>
    </xf>
    <xf numFmtId="0" fontId="0" fillId="5" borderId="23" xfId="0" applyFill="1" applyBorder="1" applyAlignment="1" applyProtection="1">
      <alignment vertical="center"/>
      <protection locked="0"/>
    </xf>
    <xf numFmtId="0" fontId="0" fillId="5" borderId="25" xfId="0" applyFill="1" applyBorder="1" applyAlignment="1" applyProtection="1">
      <alignment vertical="center"/>
      <protection locked="0"/>
    </xf>
    <xf numFmtId="0" fontId="0" fillId="7" borderId="18" xfId="0" applyFill="1" applyBorder="1" applyAlignment="1" applyProtection="1">
      <alignment vertical="center"/>
      <protection locked="0"/>
    </xf>
    <xf numFmtId="0" fontId="0" fillId="7" borderId="25" xfId="0" applyFill="1" applyBorder="1" applyAlignment="1" applyProtection="1">
      <alignment vertical="center"/>
      <protection locked="0"/>
    </xf>
    <xf numFmtId="0" fontId="4" fillId="2" borderId="27" xfId="1" applyFont="1" applyBorder="1" applyAlignment="1" applyProtection="1">
      <alignment horizontal="center" vertical="center" wrapText="1"/>
      <protection locked="0"/>
    </xf>
    <xf numFmtId="0" fontId="4" fillId="2" borderId="20" xfId="1" applyFont="1" applyBorder="1" applyAlignment="1" applyProtection="1">
      <alignment horizontal="center" vertical="center" wrapText="1"/>
      <protection locked="0"/>
    </xf>
    <xf numFmtId="0" fontId="5" fillId="0" borderId="28" xfId="0" applyNumberFormat="1" applyFont="1" applyBorder="1" applyAlignment="1" applyProtection="1">
      <alignment horizontal="center" vertical="center"/>
    </xf>
    <xf numFmtId="0" fontId="5" fillId="0" borderId="21" xfId="0" applyNumberFormat="1" applyFont="1" applyBorder="1" applyAlignment="1" applyProtection="1">
      <alignment horizontal="center" vertical="center"/>
    </xf>
    <xf numFmtId="0" fontId="5" fillId="0" borderId="28" xfId="0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</xf>
    <xf numFmtId="164" fontId="4" fillId="2" borderId="0" xfId="0" applyNumberFormat="1" applyFont="1" applyFill="1" applyBorder="1" applyAlignment="1" applyProtection="1">
      <alignment horizontal="center"/>
      <protection locked="0"/>
    </xf>
    <xf numFmtId="164" fontId="4" fillId="2" borderId="24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center" vertical="center"/>
    </xf>
    <xf numFmtId="14" fontId="5" fillId="2" borderId="0" xfId="0" applyNumberFormat="1" applyFont="1" applyFill="1" applyBorder="1" applyAlignment="1" applyProtection="1">
      <alignment horizontal="center" vertical="center"/>
      <protection locked="0"/>
    </xf>
    <xf numFmtId="164" fontId="4" fillId="2" borderId="26" xfId="0" applyNumberFormat="1" applyFont="1" applyFill="1" applyBorder="1" applyAlignment="1" applyProtection="1">
      <alignment horizontal="center"/>
      <protection locked="0"/>
    </xf>
    <xf numFmtId="0" fontId="4" fillId="2" borderId="30" xfId="1" applyFont="1" applyBorder="1" applyAlignment="1" applyProtection="1">
      <alignment horizontal="center" vertical="center" wrapText="1"/>
      <protection locked="0"/>
    </xf>
    <xf numFmtId="0" fontId="4" fillId="2" borderId="0" xfId="1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/>
    </xf>
    <xf numFmtId="0" fontId="5" fillId="0" borderId="31" xfId="0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center" vertical="center"/>
    </xf>
    <xf numFmtId="0" fontId="5" fillId="0" borderId="22" xfId="0" applyNumberFormat="1" applyFont="1" applyBorder="1" applyAlignment="1" applyProtection="1">
      <alignment horizontal="center" vertical="center"/>
    </xf>
    <xf numFmtId="0" fontId="5" fillId="0" borderId="31" xfId="0" applyNumberFormat="1" applyFont="1" applyBorder="1" applyAlignment="1" applyProtection="1">
      <alignment horizontal="center" vertical="center"/>
    </xf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</cellXfs>
  <cellStyles count="3">
    <cellStyle name="Nichts 1" xfId="1" xr:uid="{00000000-0005-0000-0000-000000000000}"/>
    <cellStyle name="Standard" xfId="0" builtinId="0"/>
    <cellStyle name="Standard 2" xfId="2" xr:uid="{00000000-0005-0000-0000-000002000000}"/>
  </cellStyles>
  <dxfs count="385"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E9939"/>
      <color rgb="FFDE0000"/>
      <color rgb="FFD60000"/>
      <color rgb="FF7FA6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247649</xdr:colOff>
      <xdr:row>0</xdr:row>
      <xdr:rowOff>19050</xdr:rowOff>
    </xdr:from>
    <xdr:to>
      <xdr:col>57</xdr:col>
      <xdr:colOff>0</xdr:colOff>
      <xdr:row>4</xdr:row>
      <xdr:rowOff>9525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49" y="19050"/>
          <a:ext cx="9658351" cy="75247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r"/>
          <a:r>
            <a:rPr lang="de-CH" sz="1800"/>
            <a:t>NNergneree</a:t>
          </a:r>
        </a:p>
      </xdr:txBody>
    </xdr:sp>
    <xdr:clientData/>
  </xdr:twoCellAnchor>
  <xdr:twoCellAnchor>
    <xdr:from>
      <xdr:col>1</xdr:col>
      <xdr:colOff>9524</xdr:colOff>
      <xdr:row>0</xdr:row>
      <xdr:rowOff>0</xdr:rowOff>
    </xdr:from>
    <xdr:to>
      <xdr:col>20</xdr:col>
      <xdr:colOff>19050</xdr:colOff>
      <xdr:row>4</xdr:row>
      <xdr:rowOff>0</xdr:rowOff>
    </xdr:to>
    <xdr:sp macro="" textlink="" fLocksText="0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7649" y="0"/>
          <a:ext cx="7419976" cy="762000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2000"/>
            <a:t>TDTool</a:t>
          </a:r>
        </a:p>
      </xdr:txBody>
    </xdr:sp>
    <xdr:clientData/>
  </xdr:twoCellAnchor>
  <xdr:twoCellAnchor>
    <xdr:from>
      <xdr:col>16</xdr:col>
      <xdr:colOff>38098</xdr:colOff>
      <xdr:row>0</xdr:row>
      <xdr:rowOff>0</xdr:rowOff>
    </xdr:from>
    <xdr:to>
      <xdr:col>20</xdr:col>
      <xdr:colOff>38097</xdr:colOff>
      <xdr:row>3</xdr:row>
      <xdr:rowOff>190499</xdr:rowOff>
    </xdr:to>
    <xdr:sp macro="" textlink="">
      <xdr:nvSpPr>
        <xdr:cNvPr id="2" name="Right Triangle 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>
          <a:off x="6305548" y="0"/>
          <a:ext cx="990599" cy="761999"/>
        </a:xfrm>
        <a:prstGeom prst="rtTriangle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endParaRPr lang="de-CH"/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1</xdr:col>
      <xdr:colOff>0</xdr:colOff>
      <xdr:row>34</xdr:row>
      <xdr:rowOff>0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525" y="0"/>
          <a:ext cx="228600" cy="11001375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</xdr:colOff>
      <xdr:row>32</xdr:row>
      <xdr:rowOff>19052</xdr:rowOff>
    </xdr:from>
    <xdr:to>
      <xdr:col>1</xdr:col>
      <xdr:colOff>114305</xdr:colOff>
      <xdr:row>34</xdr:row>
      <xdr:rowOff>0</xdr:rowOff>
    </xdr:to>
    <xdr:sp macro="" textlink="">
      <xdr:nvSpPr>
        <xdr:cNvPr id="6" name="Rechtwinkliges Dreiec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6200000">
          <a:off x="-4758" y="4833937"/>
          <a:ext cx="361948" cy="352428"/>
        </a:xfrm>
        <a:prstGeom prst="rtTriangl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/>
        </a:p>
      </xdr:txBody>
    </xdr:sp>
    <xdr:clientData/>
  </xdr:twoCellAnchor>
  <xdr:oneCellAnchor>
    <xdr:from>
      <xdr:col>28</xdr:col>
      <xdr:colOff>95250</xdr:colOff>
      <xdr:row>0</xdr:row>
      <xdr:rowOff>9525</xdr:rowOff>
    </xdr:from>
    <xdr:ext cx="7077075" cy="752476"/>
    <xdr:sp macro="" textlink="" fLocksText="0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725025" y="9525"/>
          <a:ext cx="7077075" cy="7524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r>
            <a:rPr lang="de-CH" sz="1800">
              <a:solidFill>
                <a:schemeClr val="tx1">
                  <a:lumMod val="85000"/>
                  <a:lumOff val="15000"/>
                </a:schemeClr>
              </a:solidFill>
            </a:rPr>
            <a:t>Marcus Heri,</a:t>
          </a:r>
          <a:r>
            <a:rPr lang="de-CH" sz="1800" baseline="0">
              <a:solidFill>
                <a:schemeClr val="tx1">
                  <a:lumMod val="85000"/>
                  <a:lumOff val="15000"/>
                </a:schemeClr>
              </a:solidFill>
            </a:rPr>
            <a:t> 22.06.2018</a:t>
          </a:r>
          <a:endParaRPr lang="de-CH" sz="18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BE35"/>
  <sheetViews>
    <sheetView showGridLines="0" tabSelected="1" zoomScaleNormal="100" workbookViewId="0">
      <pane xSplit="1" topLeftCell="B1" activePane="topRight" state="frozen"/>
      <selection pane="topRight" activeCell="AP13" sqref="AP13"/>
    </sheetView>
  </sheetViews>
  <sheetFormatPr baseColWidth="10" defaultRowHeight="15" x14ac:dyDescent="0.25"/>
  <cols>
    <col min="1" max="1" width="3.5703125" customWidth="1"/>
    <col min="2" max="2" width="28.42578125" customWidth="1"/>
    <col min="3" max="3" width="9.85546875" style="35" customWidth="1"/>
    <col min="4" max="4" width="9.85546875" customWidth="1"/>
    <col min="5" max="5" width="7.28515625" customWidth="1"/>
    <col min="6" max="57" width="3.7109375" customWidth="1"/>
  </cols>
  <sheetData>
    <row r="1" spans="1:57" x14ac:dyDescent="0.25">
      <c r="A1" s="19"/>
      <c r="B1" s="25"/>
      <c r="C1" s="25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4"/>
      <c r="BE1" s="24"/>
    </row>
    <row r="2" spans="1:57" x14ac:dyDescent="0.25">
      <c r="A2" s="21"/>
      <c r="B2" s="26"/>
      <c r="C2" s="32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7"/>
      <c r="BE2" s="27"/>
    </row>
    <row r="3" spans="1:57" x14ac:dyDescent="0.25">
      <c r="A3" s="22"/>
      <c r="B3" s="26"/>
      <c r="C3" s="32"/>
      <c r="D3" s="26"/>
      <c r="E3" s="26"/>
      <c r="F3" s="26"/>
      <c r="G3" s="26"/>
      <c r="H3" s="26"/>
      <c r="I3" s="26"/>
      <c r="J3" s="26"/>
      <c r="K3" s="26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7"/>
      <c r="BE3" s="27"/>
    </row>
    <row r="4" spans="1:57" x14ac:dyDescent="0.25">
      <c r="A4" s="20"/>
      <c r="B4" s="27"/>
      <c r="C4" s="3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</row>
    <row r="5" spans="1:57" x14ac:dyDescent="0.25">
      <c r="A5" s="3"/>
      <c r="B5" s="66"/>
      <c r="C5" s="66"/>
      <c r="D5" s="66"/>
      <c r="E5" s="29"/>
      <c r="F5" s="66" t="s">
        <v>21</v>
      </c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</row>
    <row r="6" spans="1:57" x14ac:dyDescent="0.25">
      <c r="A6" s="3"/>
      <c r="B6" s="69" t="s">
        <v>0</v>
      </c>
      <c r="C6" s="74" t="s">
        <v>23</v>
      </c>
      <c r="D6" s="74"/>
      <c r="E6" s="36"/>
      <c r="F6" s="67">
        <f>F7</f>
        <v>43256</v>
      </c>
      <c r="G6" s="67"/>
      <c r="H6" s="67"/>
      <c r="I6" s="68"/>
      <c r="J6" s="71">
        <f>J7</f>
        <v>43263</v>
      </c>
      <c r="K6" s="67"/>
      <c r="L6" s="67"/>
      <c r="M6" s="67"/>
      <c r="N6" s="67">
        <f>N7</f>
        <v>43270</v>
      </c>
      <c r="O6" s="67"/>
      <c r="P6" s="67"/>
      <c r="Q6" s="67"/>
      <c r="R6" s="67">
        <f>R7</f>
        <v>43272</v>
      </c>
      <c r="S6" s="67"/>
      <c r="T6" s="67"/>
      <c r="U6" s="67"/>
      <c r="V6" s="67">
        <f>V7</f>
        <v>43273</v>
      </c>
      <c r="W6" s="67"/>
      <c r="X6" s="67"/>
      <c r="Y6" s="67"/>
      <c r="Z6" s="67">
        <f>Z7</f>
        <v>43277</v>
      </c>
      <c r="AA6" s="67"/>
      <c r="AB6" s="67"/>
      <c r="AC6" s="67"/>
      <c r="AD6" s="67">
        <f>AD7</f>
        <v>43280</v>
      </c>
      <c r="AE6" s="67"/>
      <c r="AF6" s="67"/>
      <c r="AG6" s="67"/>
      <c r="AH6" s="67">
        <f>AH7</f>
        <v>43284</v>
      </c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</row>
    <row r="7" spans="1:57" x14ac:dyDescent="0.25">
      <c r="A7" s="3"/>
      <c r="B7" s="69"/>
      <c r="C7" s="74"/>
      <c r="D7" s="74"/>
      <c r="E7" s="36"/>
      <c r="F7" s="70">
        <v>43256</v>
      </c>
      <c r="G7" s="70"/>
      <c r="H7" s="70"/>
      <c r="I7" s="70"/>
      <c r="J7" s="70">
        <v>43263</v>
      </c>
      <c r="K7" s="70"/>
      <c r="L7" s="70"/>
      <c r="M7" s="70"/>
      <c r="N7" s="70">
        <v>43270</v>
      </c>
      <c r="O7" s="70"/>
      <c r="P7" s="70"/>
      <c r="Q7" s="70"/>
      <c r="R7" s="70">
        <v>43272</v>
      </c>
      <c r="S7" s="70"/>
      <c r="T7" s="70"/>
      <c r="U7" s="70"/>
      <c r="V7" s="70">
        <v>43273</v>
      </c>
      <c r="W7" s="70"/>
      <c r="X7" s="70"/>
      <c r="Y7" s="70"/>
      <c r="Z7" s="70">
        <v>43277</v>
      </c>
      <c r="AA7" s="70"/>
      <c r="AB7" s="70"/>
      <c r="AC7" s="70"/>
      <c r="AD7" s="70">
        <v>43280</v>
      </c>
      <c r="AE7" s="70"/>
      <c r="AF7" s="70"/>
      <c r="AG7" s="70"/>
      <c r="AH7" s="70">
        <v>43284</v>
      </c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</row>
    <row r="8" spans="1:57" ht="18.75" x14ac:dyDescent="0.25">
      <c r="A8" s="3"/>
      <c r="B8" s="31" t="s">
        <v>1</v>
      </c>
      <c r="C8" s="43" t="s">
        <v>10</v>
      </c>
      <c r="D8" s="43" t="s">
        <v>11</v>
      </c>
      <c r="E8" s="44"/>
      <c r="F8" s="44"/>
      <c r="G8" s="44"/>
      <c r="H8" s="44"/>
      <c r="I8" s="47"/>
      <c r="J8" s="44"/>
      <c r="K8" s="44"/>
      <c r="L8" s="44"/>
      <c r="M8" s="47"/>
      <c r="N8" s="44"/>
      <c r="O8" s="44"/>
      <c r="P8" s="44"/>
      <c r="Q8" s="47"/>
      <c r="R8" s="44"/>
      <c r="S8" s="44"/>
      <c r="T8" s="44"/>
      <c r="U8" s="47"/>
      <c r="V8" s="44"/>
      <c r="W8" s="44"/>
      <c r="X8" s="44"/>
      <c r="Y8" s="47"/>
      <c r="Z8" s="44"/>
      <c r="AA8" s="44"/>
      <c r="AB8" s="44"/>
      <c r="AC8" s="47"/>
      <c r="AD8" s="44"/>
      <c r="AE8" s="44"/>
      <c r="AF8" s="44"/>
      <c r="AG8" s="47"/>
      <c r="AH8" s="44"/>
      <c r="AI8" s="44"/>
      <c r="AJ8" s="44"/>
      <c r="AK8" s="47"/>
      <c r="AL8" s="44"/>
      <c r="AM8" s="44"/>
      <c r="AN8" s="44"/>
      <c r="AO8" s="47"/>
      <c r="AP8" s="44"/>
      <c r="AQ8" s="44"/>
      <c r="AR8" s="44"/>
      <c r="AS8" s="47"/>
      <c r="AT8" s="44"/>
      <c r="AU8" s="44"/>
      <c r="AV8" s="44"/>
      <c r="AW8" s="47"/>
      <c r="AX8" s="44"/>
      <c r="AY8" s="44"/>
      <c r="AZ8" s="44"/>
      <c r="BA8" s="47"/>
      <c r="BB8" s="44"/>
      <c r="BC8" s="44"/>
      <c r="BD8" s="44"/>
      <c r="BE8" s="44"/>
    </row>
    <row r="9" spans="1:57" x14ac:dyDescent="0.25">
      <c r="A9" s="3"/>
      <c r="B9" s="73" t="s">
        <v>25</v>
      </c>
      <c r="C9" s="77">
        <f ca="1">CalculateWorktime(F9:BE9,Farbe_Soll)</f>
        <v>4</v>
      </c>
      <c r="D9" s="76">
        <f ca="1">CalculateWorktime(F10:BE10,Farbe_Ist)</f>
        <v>4</v>
      </c>
      <c r="E9" s="38" t="s">
        <v>10</v>
      </c>
      <c r="F9" s="50"/>
      <c r="G9" s="51"/>
      <c r="H9" s="41"/>
      <c r="I9" s="48"/>
      <c r="J9" s="45"/>
      <c r="K9" s="41"/>
      <c r="L9" s="41"/>
      <c r="M9" s="48"/>
      <c r="N9" s="45"/>
      <c r="O9" s="41"/>
      <c r="P9" s="41"/>
      <c r="Q9" s="48"/>
      <c r="R9" s="45"/>
      <c r="S9" s="41"/>
      <c r="T9" s="41"/>
      <c r="U9" s="48"/>
      <c r="V9" s="41"/>
      <c r="W9" s="41"/>
      <c r="X9" s="41"/>
      <c r="Y9" s="48"/>
      <c r="Z9" s="41"/>
      <c r="AA9" s="41"/>
      <c r="AB9" s="41"/>
      <c r="AC9" s="48"/>
      <c r="AD9" s="41"/>
      <c r="AE9" s="41"/>
      <c r="AF9" s="41"/>
      <c r="AG9" s="48"/>
      <c r="AH9" s="41"/>
      <c r="AI9" s="41"/>
      <c r="AJ9" s="41"/>
      <c r="AK9" s="48"/>
      <c r="AL9" s="41"/>
      <c r="AM9" s="41"/>
      <c r="AN9" s="41"/>
      <c r="AO9" s="48"/>
      <c r="AP9" s="41"/>
      <c r="AQ9" s="41"/>
      <c r="AR9" s="41"/>
      <c r="AS9" s="48"/>
      <c r="AT9" s="41"/>
      <c r="AU9" s="41"/>
      <c r="AV9" s="41"/>
      <c r="AW9" s="48"/>
      <c r="AX9" s="41"/>
      <c r="AY9" s="41"/>
      <c r="AZ9" s="41"/>
      <c r="BA9" s="48"/>
      <c r="BB9" s="41"/>
      <c r="BC9" s="41"/>
      <c r="BD9" s="41"/>
      <c r="BE9" s="41"/>
    </row>
    <row r="10" spans="1:57" x14ac:dyDescent="0.25">
      <c r="A10" s="3"/>
      <c r="B10" s="72"/>
      <c r="C10" s="78"/>
      <c r="D10" s="75"/>
      <c r="E10" s="38" t="s">
        <v>11</v>
      </c>
      <c r="F10" s="55"/>
      <c r="G10" s="55"/>
      <c r="H10" s="41"/>
      <c r="I10" s="48"/>
      <c r="J10" s="45"/>
      <c r="K10" s="41"/>
      <c r="L10" s="41"/>
      <c r="M10" s="48"/>
      <c r="N10" s="45"/>
      <c r="O10" s="41"/>
      <c r="P10" s="41"/>
      <c r="Q10" s="48"/>
      <c r="R10" s="45"/>
      <c r="S10" s="41"/>
      <c r="T10" s="41"/>
      <c r="U10" s="48"/>
      <c r="V10" s="41"/>
      <c r="W10" s="41"/>
      <c r="X10" s="41"/>
      <c r="Y10" s="48"/>
      <c r="Z10" s="41"/>
      <c r="AA10" s="41"/>
      <c r="AB10" s="41"/>
      <c r="AC10" s="48"/>
      <c r="AD10" s="41"/>
      <c r="AE10" s="41"/>
      <c r="AF10" s="41"/>
      <c r="AG10" s="48"/>
      <c r="AH10" s="41"/>
      <c r="AI10" s="41"/>
      <c r="AJ10" s="41"/>
      <c r="AK10" s="48"/>
      <c r="AL10" s="41"/>
      <c r="AM10" s="41"/>
      <c r="AN10" s="41"/>
      <c r="AO10" s="48"/>
      <c r="AP10" s="41"/>
      <c r="AQ10" s="41"/>
      <c r="AR10" s="41"/>
      <c r="AS10" s="48"/>
      <c r="AT10" s="41"/>
      <c r="AU10" s="41"/>
      <c r="AV10" s="41"/>
      <c r="AW10" s="48"/>
      <c r="AX10" s="41"/>
      <c r="AY10" s="41"/>
      <c r="AZ10" s="41"/>
      <c r="BA10" s="48"/>
      <c r="BB10" s="41"/>
      <c r="BC10" s="41"/>
      <c r="BD10" s="41"/>
      <c r="BE10" s="41"/>
    </row>
    <row r="11" spans="1:57" ht="18.75" x14ac:dyDescent="0.25">
      <c r="A11" s="3"/>
      <c r="B11" s="31" t="s">
        <v>2</v>
      </c>
      <c r="C11" s="44"/>
      <c r="D11" s="44"/>
      <c r="E11" s="44"/>
      <c r="F11" s="44"/>
      <c r="G11" s="44"/>
      <c r="H11" s="44"/>
      <c r="I11" s="47"/>
      <c r="J11" s="44"/>
      <c r="K11" s="44"/>
      <c r="L11" s="44"/>
      <c r="M11" s="47"/>
      <c r="N11" s="44"/>
      <c r="O11" s="44"/>
      <c r="P11" s="44"/>
      <c r="Q11" s="47"/>
      <c r="R11" s="44"/>
      <c r="S11" s="44"/>
      <c r="T11" s="44"/>
      <c r="U11" s="47"/>
      <c r="V11" s="44"/>
      <c r="W11" s="44"/>
      <c r="X11" s="44"/>
      <c r="Y11" s="47"/>
      <c r="Z11" s="44"/>
      <c r="AA11" s="44"/>
      <c r="AB11" s="44"/>
      <c r="AC11" s="47"/>
      <c r="AD11" s="44"/>
      <c r="AE11" s="44"/>
      <c r="AF11" s="44"/>
      <c r="AG11" s="47"/>
      <c r="AH11" s="44"/>
      <c r="AI11" s="44"/>
      <c r="AJ11" s="44"/>
      <c r="AK11" s="47"/>
      <c r="AL11" s="44"/>
      <c r="AM11" s="44"/>
      <c r="AN11" s="44"/>
      <c r="AO11" s="47"/>
      <c r="AP11" s="44"/>
      <c r="AQ11" s="44"/>
      <c r="AR11" s="44"/>
      <c r="AS11" s="47"/>
      <c r="AT11" s="44"/>
      <c r="AU11" s="44"/>
      <c r="AV11" s="44"/>
      <c r="AW11" s="47"/>
      <c r="AX11" s="44"/>
      <c r="AY11" s="44"/>
      <c r="AZ11" s="44"/>
      <c r="BA11" s="47"/>
      <c r="BB11" s="44"/>
      <c r="BC11" s="44"/>
      <c r="BD11" s="44"/>
      <c r="BE11" s="44"/>
    </row>
    <row r="12" spans="1:57" x14ac:dyDescent="0.25">
      <c r="A12" s="3"/>
      <c r="B12" s="73" t="s">
        <v>26</v>
      </c>
      <c r="C12" s="77">
        <f ca="1">CalculateWorktime(F12:BE12,Farbe_Soll)</f>
        <v>2</v>
      </c>
      <c r="D12" s="76">
        <f ca="1">CalculateWorktime(F13:BE13,Farbe_Ist)</f>
        <v>2</v>
      </c>
      <c r="E12" s="38" t="s">
        <v>10</v>
      </c>
      <c r="F12" s="41"/>
      <c r="G12" s="41"/>
      <c r="H12" s="41"/>
      <c r="I12" s="48"/>
      <c r="J12" s="45" t="s">
        <v>27</v>
      </c>
      <c r="K12" s="51"/>
      <c r="L12" s="41"/>
      <c r="M12" s="48"/>
      <c r="N12" s="45"/>
      <c r="O12" s="41"/>
      <c r="P12" s="41"/>
      <c r="Q12" s="48"/>
      <c r="R12" s="45"/>
      <c r="S12" s="41"/>
      <c r="T12" s="41"/>
      <c r="U12" s="48"/>
      <c r="V12" s="41"/>
      <c r="W12" s="41"/>
      <c r="X12" s="41"/>
      <c r="Y12" s="48"/>
      <c r="Z12" s="41"/>
      <c r="AA12" s="41"/>
      <c r="AB12" s="41"/>
      <c r="AC12" s="48"/>
      <c r="AD12" s="41"/>
      <c r="AE12" s="41"/>
      <c r="AF12" s="41"/>
      <c r="AG12" s="48"/>
      <c r="AH12" s="41"/>
      <c r="AI12" s="41"/>
      <c r="AJ12" s="41"/>
      <c r="AK12" s="48"/>
      <c r="AL12" s="41"/>
      <c r="AM12" s="41"/>
      <c r="AN12" s="41"/>
      <c r="AO12" s="48"/>
      <c r="AP12" s="41"/>
      <c r="AQ12" s="41"/>
      <c r="AR12" s="41"/>
      <c r="AS12" s="48"/>
      <c r="AT12" s="41"/>
      <c r="AU12" s="41"/>
      <c r="AV12" s="41"/>
      <c r="AW12" s="48"/>
      <c r="AX12" s="41"/>
      <c r="AY12" s="41"/>
      <c r="AZ12" s="41"/>
      <c r="BA12" s="48"/>
      <c r="BB12" s="41"/>
      <c r="BC12" s="41"/>
      <c r="BD12" s="41"/>
      <c r="BE12" s="41"/>
    </row>
    <row r="13" spans="1:57" x14ac:dyDescent="0.25">
      <c r="A13" s="3"/>
      <c r="B13" s="61"/>
      <c r="C13" s="63"/>
      <c r="D13" s="65"/>
      <c r="E13" s="40" t="s">
        <v>11</v>
      </c>
      <c r="F13" s="41"/>
      <c r="G13" s="41"/>
      <c r="H13" s="41"/>
      <c r="I13" s="48"/>
      <c r="J13" s="45"/>
      <c r="K13" s="55"/>
      <c r="L13" s="41"/>
      <c r="M13" s="48"/>
      <c r="N13" s="45"/>
      <c r="O13" s="41"/>
      <c r="P13" s="41"/>
      <c r="Q13" s="48"/>
      <c r="R13" s="45"/>
      <c r="S13" s="41"/>
      <c r="T13" s="41"/>
      <c r="U13" s="48"/>
      <c r="V13" s="41"/>
      <c r="W13" s="41"/>
      <c r="X13" s="41"/>
      <c r="Y13" s="48"/>
      <c r="Z13" s="41"/>
      <c r="AA13" s="41"/>
      <c r="AB13" s="41"/>
      <c r="AC13" s="48"/>
      <c r="AD13" s="41"/>
      <c r="AE13" s="41"/>
      <c r="AF13" s="41"/>
      <c r="AG13" s="48"/>
      <c r="AH13" s="41"/>
      <c r="AI13" s="41"/>
      <c r="AJ13" s="41"/>
      <c r="AK13" s="48"/>
      <c r="AL13" s="41"/>
      <c r="AM13" s="41"/>
      <c r="AN13" s="41"/>
      <c r="AO13" s="48"/>
      <c r="AP13" s="41"/>
      <c r="AQ13" s="41"/>
      <c r="AR13" s="41"/>
      <c r="AS13" s="48"/>
      <c r="AT13" s="41"/>
      <c r="AU13" s="41"/>
      <c r="AV13" s="41"/>
      <c r="AW13" s="48"/>
      <c r="AX13" s="41"/>
      <c r="AY13" s="41"/>
      <c r="AZ13" s="41"/>
      <c r="BA13" s="48"/>
      <c r="BB13" s="41"/>
      <c r="BC13" s="41"/>
      <c r="BD13" s="41"/>
      <c r="BE13" s="41"/>
    </row>
    <row r="14" spans="1:57" x14ac:dyDescent="0.25">
      <c r="A14" s="3"/>
      <c r="B14" s="60" t="s">
        <v>9</v>
      </c>
      <c r="C14" s="62">
        <f ca="1">CalculateWorktime(F14:BE14,Farbe_Soll)</f>
        <v>4</v>
      </c>
      <c r="D14" s="64">
        <f ca="1">CalculateWorktime(F15:BE15,Farbe_Ist)</f>
        <v>4</v>
      </c>
      <c r="E14" s="52" t="s">
        <v>10</v>
      </c>
      <c r="F14" s="41"/>
      <c r="G14" s="41"/>
      <c r="H14" s="41"/>
      <c r="I14" s="48"/>
      <c r="J14" s="45"/>
      <c r="K14" s="41"/>
      <c r="L14" s="41"/>
      <c r="M14" s="48"/>
      <c r="N14" s="45"/>
      <c r="O14" s="41"/>
      <c r="P14" s="41"/>
      <c r="Q14" s="48"/>
      <c r="R14" s="53"/>
      <c r="S14" s="51"/>
      <c r="T14" s="41"/>
      <c r="U14" s="48"/>
      <c r="V14" s="41"/>
      <c r="W14" s="41"/>
      <c r="X14" s="41"/>
      <c r="Y14" s="48"/>
      <c r="Z14" s="41"/>
      <c r="AA14" s="41"/>
      <c r="AB14" s="41"/>
      <c r="AC14" s="48"/>
      <c r="AD14" s="41"/>
      <c r="AE14" s="41"/>
      <c r="AF14" s="41"/>
      <c r="AG14" s="48"/>
      <c r="AH14" s="41"/>
      <c r="AI14" s="41"/>
      <c r="AJ14" s="41"/>
      <c r="AK14" s="48"/>
      <c r="AL14" s="41"/>
      <c r="AM14" s="41"/>
      <c r="AN14" s="41"/>
      <c r="AO14" s="48"/>
      <c r="AP14" s="41"/>
      <c r="AQ14" s="41"/>
      <c r="AR14" s="41"/>
      <c r="AS14" s="48"/>
      <c r="AT14" s="41"/>
      <c r="AU14" s="41"/>
      <c r="AV14" s="41"/>
      <c r="AW14" s="48"/>
      <c r="AX14" s="41"/>
      <c r="AY14" s="41"/>
      <c r="AZ14" s="41"/>
      <c r="BA14" s="48"/>
      <c r="BB14" s="41"/>
      <c r="BC14" s="41"/>
      <c r="BD14" s="41"/>
      <c r="BE14" s="41"/>
    </row>
    <row r="15" spans="1:57" x14ac:dyDescent="0.25">
      <c r="A15" s="3"/>
      <c r="B15" s="61"/>
      <c r="C15" s="63"/>
      <c r="D15" s="65"/>
      <c r="E15" s="40" t="s">
        <v>11</v>
      </c>
      <c r="F15" s="41"/>
      <c r="G15" s="41"/>
      <c r="H15" s="41"/>
      <c r="I15" s="48"/>
      <c r="J15" s="45"/>
      <c r="K15" s="41"/>
      <c r="L15" s="41"/>
      <c r="M15" s="48"/>
      <c r="N15" s="45"/>
      <c r="O15" s="41"/>
      <c r="P15" s="41"/>
      <c r="Q15" s="48"/>
      <c r="R15" s="56"/>
      <c r="S15" s="55"/>
      <c r="T15" s="41"/>
      <c r="U15" s="48"/>
      <c r="V15" s="41"/>
      <c r="W15" s="41"/>
      <c r="X15" s="41"/>
      <c r="Y15" s="48"/>
      <c r="Z15" s="41"/>
      <c r="AA15" s="41"/>
      <c r="AB15" s="41"/>
      <c r="AC15" s="48"/>
      <c r="AD15" s="41"/>
      <c r="AE15" s="41"/>
      <c r="AF15" s="41"/>
      <c r="AG15" s="48"/>
      <c r="AH15" s="41"/>
      <c r="AI15" s="41"/>
      <c r="AJ15" s="41"/>
      <c r="AK15" s="48"/>
      <c r="AL15" s="41"/>
      <c r="AM15" s="41"/>
      <c r="AN15" s="41"/>
      <c r="AO15" s="48"/>
      <c r="AP15" s="41"/>
      <c r="AQ15" s="41"/>
      <c r="AR15" s="41"/>
      <c r="AS15" s="48"/>
      <c r="AT15" s="41"/>
      <c r="AU15" s="41"/>
      <c r="AV15" s="41"/>
      <c r="AW15" s="48"/>
      <c r="AX15" s="41"/>
      <c r="AY15" s="41"/>
      <c r="AZ15" s="41"/>
      <c r="BA15" s="48"/>
      <c r="BB15" s="41"/>
      <c r="BC15" s="41"/>
      <c r="BD15" s="41"/>
      <c r="BE15" s="41"/>
    </row>
    <row r="16" spans="1:57" x14ac:dyDescent="0.25">
      <c r="A16" s="3"/>
      <c r="B16" s="60" t="s">
        <v>31</v>
      </c>
      <c r="C16" s="62">
        <f ca="1">CalculateWorktime(F16:BE16,Farbe_Soll)</f>
        <v>0</v>
      </c>
      <c r="D16" s="64">
        <f ca="1">CalculateWorktime(F17:BE17,Farbe_Ist)</f>
        <v>2</v>
      </c>
      <c r="E16" s="52" t="s">
        <v>10</v>
      </c>
      <c r="F16" s="41"/>
      <c r="G16" s="41"/>
      <c r="H16" s="41"/>
      <c r="I16" s="48"/>
      <c r="J16" s="45"/>
      <c r="K16" s="41"/>
      <c r="L16" s="41"/>
      <c r="M16" s="48"/>
      <c r="N16" s="45"/>
      <c r="O16" s="41"/>
      <c r="P16" s="41"/>
      <c r="Q16" s="48"/>
      <c r="R16" s="45"/>
      <c r="S16" s="41"/>
      <c r="T16" s="41"/>
      <c r="U16" s="48"/>
      <c r="V16" s="41"/>
      <c r="W16" s="58"/>
      <c r="X16" s="41"/>
      <c r="Y16" s="48"/>
      <c r="Z16" s="41"/>
      <c r="AA16" s="41"/>
      <c r="AB16" s="41"/>
      <c r="AC16" s="48"/>
      <c r="AD16" s="41"/>
      <c r="AE16" s="41"/>
      <c r="AF16" s="41"/>
      <c r="AG16" s="48"/>
      <c r="AH16" s="41"/>
      <c r="AI16" s="41"/>
      <c r="AJ16" s="41"/>
      <c r="AK16" s="48"/>
      <c r="AL16" s="41"/>
      <c r="AM16" s="41"/>
      <c r="AN16" s="41"/>
      <c r="AO16" s="48"/>
      <c r="AP16" s="41"/>
      <c r="AQ16" s="41"/>
      <c r="AR16" s="41"/>
      <c r="AS16" s="48"/>
      <c r="AT16" s="41"/>
      <c r="AU16" s="41"/>
      <c r="AV16" s="41"/>
      <c r="AW16" s="48"/>
      <c r="AX16" s="41"/>
      <c r="AY16" s="41"/>
      <c r="AZ16" s="41"/>
      <c r="BA16" s="48"/>
      <c r="BB16" s="41"/>
      <c r="BC16" s="41"/>
      <c r="BD16" s="41"/>
      <c r="BE16" s="41"/>
    </row>
    <row r="17" spans="1:57" x14ac:dyDescent="0.25">
      <c r="A17" s="3"/>
      <c r="B17" s="72"/>
      <c r="C17" s="78"/>
      <c r="D17" s="75"/>
      <c r="E17" s="40" t="s">
        <v>11</v>
      </c>
      <c r="F17" s="41"/>
      <c r="G17" s="41"/>
      <c r="H17" s="41"/>
      <c r="I17" s="48"/>
      <c r="J17" s="45"/>
      <c r="K17" s="41"/>
      <c r="L17" s="41"/>
      <c r="M17" s="48"/>
      <c r="N17" s="45"/>
      <c r="O17" s="41"/>
      <c r="P17" s="41"/>
      <c r="Q17" s="48"/>
      <c r="R17" s="45"/>
      <c r="S17" s="41"/>
      <c r="T17" s="41"/>
      <c r="U17" s="48"/>
      <c r="V17" s="41"/>
      <c r="W17" s="55"/>
      <c r="X17" s="41"/>
      <c r="Y17" s="48"/>
      <c r="Z17" s="41"/>
      <c r="AA17" s="41"/>
      <c r="AB17" s="41"/>
      <c r="AC17" s="48"/>
      <c r="AD17" s="41"/>
      <c r="AE17" s="41"/>
      <c r="AF17" s="41"/>
      <c r="AG17" s="48"/>
      <c r="AH17" s="41"/>
      <c r="AI17" s="41"/>
      <c r="AJ17" s="41"/>
      <c r="AK17" s="48"/>
      <c r="AL17" s="41"/>
      <c r="AM17" s="41"/>
      <c r="AN17" s="41"/>
      <c r="AO17" s="48"/>
      <c r="AP17" s="41"/>
      <c r="AQ17" s="41"/>
      <c r="AR17" s="41"/>
      <c r="AS17" s="48"/>
      <c r="AT17" s="41"/>
      <c r="AU17" s="41"/>
      <c r="AV17" s="41"/>
      <c r="AW17" s="48"/>
      <c r="AX17" s="41"/>
      <c r="AY17" s="41"/>
      <c r="AZ17" s="41"/>
      <c r="BA17" s="48"/>
      <c r="BB17" s="41"/>
      <c r="BC17" s="41"/>
      <c r="BD17" s="41"/>
      <c r="BE17" s="41"/>
    </row>
    <row r="18" spans="1:57" ht="18.75" x14ac:dyDescent="0.25">
      <c r="A18" s="3"/>
      <c r="B18" s="31" t="s">
        <v>3</v>
      </c>
      <c r="C18" s="44"/>
      <c r="D18" s="44"/>
      <c r="E18" s="44"/>
      <c r="F18" s="44"/>
      <c r="G18" s="44"/>
      <c r="H18" s="44"/>
      <c r="I18" s="47"/>
      <c r="J18" s="44"/>
      <c r="K18" s="44"/>
      <c r="L18" s="44"/>
      <c r="M18" s="47"/>
      <c r="N18" s="44"/>
      <c r="O18" s="44"/>
      <c r="P18" s="44"/>
      <c r="Q18" s="47"/>
      <c r="R18" s="44"/>
      <c r="S18" s="44"/>
      <c r="T18" s="44"/>
      <c r="U18" s="47"/>
      <c r="V18" s="44"/>
      <c r="W18" s="44"/>
      <c r="X18" s="44"/>
      <c r="Y18" s="47"/>
      <c r="Z18" s="44"/>
      <c r="AA18" s="44"/>
      <c r="AB18" s="44"/>
      <c r="AC18" s="47"/>
      <c r="AD18" s="44"/>
      <c r="AE18" s="44"/>
      <c r="AF18" s="44"/>
      <c r="AG18" s="47"/>
      <c r="AH18" s="44"/>
      <c r="AI18" s="44"/>
      <c r="AJ18" s="44"/>
      <c r="AK18" s="47"/>
      <c r="AL18" s="44"/>
      <c r="AM18" s="44"/>
      <c r="AN18" s="44"/>
      <c r="AO18" s="47"/>
      <c r="AP18" s="44"/>
      <c r="AQ18" s="44"/>
      <c r="AR18" s="44"/>
      <c r="AS18" s="47"/>
      <c r="AT18" s="44"/>
      <c r="AU18" s="44"/>
      <c r="AV18" s="44"/>
      <c r="AW18" s="47"/>
      <c r="AX18" s="44"/>
      <c r="AY18" s="44"/>
      <c r="AZ18" s="44"/>
      <c r="BA18" s="47"/>
      <c r="BB18" s="44"/>
      <c r="BC18" s="44"/>
      <c r="BD18" s="44"/>
      <c r="BE18" s="44"/>
    </row>
    <row r="19" spans="1:57" x14ac:dyDescent="0.25">
      <c r="A19" s="3"/>
      <c r="B19" s="60" t="s">
        <v>28</v>
      </c>
      <c r="C19" s="62">
        <f ca="1">CalculateWorktime(F19:BE19,Farbe_Soll)</f>
        <v>2</v>
      </c>
      <c r="D19" s="64">
        <f ca="1">CalculateWorktime(F20:BE20,Farbe_Ist)</f>
        <v>2</v>
      </c>
      <c r="E19" s="38" t="s">
        <v>10</v>
      </c>
      <c r="F19" s="42"/>
      <c r="G19" s="42"/>
      <c r="H19" s="42"/>
      <c r="I19" s="49"/>
      <c r="J19" s="46"/>
      <c r="K19" s="42"/>
      <c r="L19" s="42"/>
      <c r="M19" s="49"/>
      <c r="N19" s="53"/>
      <c r="O19" s="42"/>
      <c r="P19" s="42"/>
      <c r="Q19" s="49"/>
      <c r="R19" s="46"/>
      <c r="S19" s="42"/>
      <c r="T19" s="42"/>
      <c r="U19" s="49"/>
      <c r="V19" s="42"/>
      <c r="W19" s="42"/>
      <c r="X19" s="42"/>
      <c r="Y19" s="49"/>
      <c r="Z19" s="42"/>
      <c r="AA19" s="42"/>
      <c r="AB19" s="42"/>
      <c r="AC19" s="49"/>
      <c r="AD19" s="42"/>
      <c r="AE19" s="42"/>
      <c r="AF19" s="42"/>
      <c r="AG19" s="49"/>
      <c r="AH19" s="42"/>
      <c r="AI19" s="42"/>
      <c r="AJ19" s="42"/>
      <c r="AK19" s="49"/>
      <c r="AL19" s="42"/>
      <c r="AM19" s="42"/>
      <c r="AN19" s="42"/>
      <c r="AO19" s="49"/>
      <c r="AP19" s="42"/>
      <c r="AQ19" s="42"/>
      <c r="AR19" s="42"/>
      <c r="AS19" s="49"/>
      <c r="AT19" s="42"/>
      <c r="AU19" s="42"/>
      <c r="AV19" s="42"/>
      <c r="AW19" s="49"/>
      <c r="AX19" s="42"/>
      <c r="AY19" s="42"/>
      <c r="AZ19" s="42"/>
      <c r="BA19" s="49"/>
      <c r="BB19" s="42"/>
      <c r="BC19" s="42"/>
      <c r="BD19" s="42"/>
      <c r="BE19" s="42"/>
    </row>
    <row r="20" spans="1:57" x14ac:dyDescent="0.25">
      <c r="A20" s="3"/>
      <c r="B20" s="61"/>
      <c r="C20" s="63"/>
      <c r="D20" s="65"/>
      <c r="E20" s="38" t="s">
        <v>11</v>
      </c>
      <c r="F20" s="42"/>
      <c r="G20" s="42"/>
      <c r="H20" s="42"/>
      <c r="I20" s="49"/>
      <c r="J20" s="46"/>
      <c r="K20" s="42"/>
      <c r="L20" s="42"/>
      <c r="M20" s="49"/>
      <c r="N20" s="56"/>
      <c r="O20" s="42"/>
      <c r="P20" s="42"/>
      <c r="Q20" s="49"/>
      <c r="R20" s="46"/>
      <c r="S20" s="42"/>
      <c r="T20" s="42"/>
      <c r="U20" s="49"/>
      <c r="V20" s="42"/>
      <c r="W20" s="42"/>
      <c r="X20" s="42"/>
      <c r="Y20" s="49"/>
      <c r="Z20" s="42"/>
      <c r="AA20" s="42"/>
      <c r="AB20" s="42"/>
      <c r="AC20" s="49"/>
      <c r="AD20" s="42"/>
      <c r="AE20" s="42"/>
      <c r="AF20" s="42"/>
      <c r="AG20" s="49"/>
      <c r="AH20" s="42"/>
      <c r="AI20" s="42"/>
      <c r="AJ20" s="42"/>
      <c r="AK20" s="49"/>
      <c r="AL20" s="42"/>
      <c r="AM20" s="42"/>
      <c r="AN20" s="42"/>
      <c r="AO20" s="49"/>
      <c r="AP20" s="42"/>
      <c r="AQ20" s="42"/>
      <c r="AR20" s="42"/>
      <c r="AS20" s="49"/>
      <c r="AT20" s="42"/>
      <c r="AU20" s="42"/>
      <c r="AV20" s="42"/>
      <c r="AW20" s="49"/>
      <c r="AX20" s="42"/>
      <c r="AY20" s="42"/>
      <c r="AZ20" s="42"/>
      <c r="BA20" s="49"/>
      <c r="BB20" s="42"/>
      <c r="BC20" s="42"/>
      <c r="BD20" s="42"/>
      <c r="BE20" s="42"/>
    </row>
    <row r="21" spans="1:57" x14ac:dyDescent="0.25">
      <c r="A21" s="3"/>
      <c r="B21" s="60" t="s">
        <v>29</v>
      </c>
      <c r="C21" s="62">
        <f ca="1">CalculateWorktime(F21:BE21,Farbe_Soll)</f>
        <v>2</v>
      </c>
      <c r="D21" s="64">
        <f ca="1">CalculateWorktime(F22:BE22,Farbe_Ist)</f>
        <v>6</v>
      </c>
      <c r="E21" s="38" t="s">
        <v>10</v>
      </c>
      <c r="F21" s="42"/>
      <c r="G21" s="42"/>
      <c r="H21" s="42"/>
      <c r="I21" s="49"/>
      <c r="J21" s="46"/>
      <c r="K21" s="42"/>
      <c r="L21" s="42"/>
      <c r="M21" s="49"/>
      <c r="N21" s="46"/>
      <c r="O21" s="51"/>
      <c r="P21" s="42"/>
      <c r="Q21" s="49"/>
      <c r="R21" s="46"/>
      <c r="S21" s="42"/>
      <c r="T21" s="42"/>
      <c r="U21" s="49"/>
      <c r="V21" s="42"/>
      <c r="W21" s="42"/>
      <c r="X21" s="58"/>
      <c r="Y21" s="59"/>
      <c r="Z21" s="42"/>
      <c r="AA21" s="42"/>
      <c r="AB21" s="42"/>
      <c r="AC21" s="49"/>
      <c r="AD21" s="42"/>
      <c r="AE21" s="42"/>
      <c r="AF21" s="42"/>
      <c r="AG21" s="49"/>
      <c r="AH21" s="42"/>
      <c r="AI21" s="42"/>
      <c r="AJ21" s="42"/>
      <c r="AK21" s="49"/>
      <c r="AL21" s="42"/>
      <c r="AM21" s="42"/>
      <c r="AN21" s="42"/>
      <c r="AO21" s="49"/>
      <c r="AP21" s="42"/>
      <c r="AQ21" s="42"/>
      <c r="AR21" s="42"/>
      <c r="AS21" s="49"/>
      <c r="AT21" s="42"/>
      <c r="AU21" s="42"/>
      <c r="AV21" s="42"/>
      <c r="AW21" s="49"/>
      <c r="AX21" s="42"/>
      <c r="AY21" s="42"/>
      <c r="AZ21" s="42"/>
      <c r="BA21" s="49"/>
      <c r="BB21" s="42"/>
      <c r="BC21" s="42"/>
      <c r="BD21" s="42"/>
      <c r="BE21" s="42"/>
    </row>
    <row r="22" spans="1:57" x14ac:dyDescent="0.25">
      <c r="A22" s="3"/>
      <c r="B22" s="61"/>
      <c r="C22" s="63"/>
      <c r="D22" s="65"/>
      <c r="E22" s="38" t="s">
        <v>11</v>
      </c>
      <c r="F22" s="42"/>
      <c r="G22" s="42"/>
      <c r="H22" s="42"/>
      <c r="I22" s="49"/>
      <c r="J22" s="46"/>
      <c r="K22" s="42"/>
      <c r="L22" s="42"/>
      <c r="M22" s="49"/>
      <c r="N22" s="46"/>
      <c r="O22" s="55"/>
      <c r="P22" s="42"/>
      <c r="Q22" s="49"/>
      <c r="R22" s="46"/>
      <c r="S22" s="42"/>
      <c r="T22" s="42"/>
      <c r="U22" s="49"/>
      <c r="V22" s="42"/>
      <c r="W22" s="42"/>
      <c r="X22" s="55"/>
      <c r="Y22" s="57"/>
      <c r="Z22" s="42"/>
      <c r="AA22" s="42"/>
      <c r="AB22" s="42"/>
      <c r="AC22" s="49"/>
      <c r="AD22" s="42"/>
      <c r="AE22" s="42"/>
      <c r="AF22" s="42"/>
      <c r="AG22" s="49"/>
      <c r="AH22" s="42"/>
      <c r="AI22" s="42"/>
      <c r="AJ22" s="42"/>
      <c r="AK22" s="49"/>
      <c r="AL22" s="42"/>
      <c r="AM22" s="42"/>
      <c r="AN22" s="42"/>
      <c r="AO22" s="49"/>
      <c r="AP22" s="42"/>
      <c r="AQ22" s="42"/>
      <c r="AR22" s="42"/>
      <c r="AS22" s="49"/>
      <c r="AT22" s="42"/>
      <c r="AU22" s="42"/>
      <c r="AV22" s="42"/>
      <c r="AW22" s="49"/>
      <c r="AX22" s="42"/>
      <c r="AY22" s="42"/>
      <c r="AZ22" s="42"/>
      <c r="BA22" s="49"/>
      <c r="BB22" s="42"/>
      <c r="BC22" s="42"/>
      <c r="BD22" s="42"/>
      <c r="BE22" s="42"/>
    </row>
    <row r="23" spans="1:57" x14ac:dyDescent="0.25">
      <c r="A23" s="3"/>
      <c r="B23" s="60" t="s">
        <v>30</v>
      </c>
      <c r="C23" s="62">
        <f ca="1">CalculateWorktime(F23:BE23,Farbe_Soll)</f>
        <v>6</v>
      </c>
      <c r="D23" s="64">
        <f ca="1">CalculateWorktime(F24:BE24,Farbe_Ist)</f>
        <v>6</v>
      </c>
      <c r="E23" s="38" t="s">
        <v>10</v>
      </c>
      <c r="F23" s="42"/>
      <c r="G23" s="42"/>
      <c r="H23" s="42"/>
      <c r="I23" s="49"/>
      <c r="J23" s="46"/>
      <c r="K23" s="42"/>
      <c r="L23" s="42"/>
      <c r="M23" s="49"/>
      <c r="N23" s="46"/>
      <c r="O23" s="41"/>
      <c r="P23" s="42"/>
      <c r="Q23" s="49"/>
      <c r="R23" s="46"/>
      <c r="S23" s="42"/>
      <c r="T23" s="51"/>
      <c r="U23" s="54"/>
      <c r="V23" s="51"/>
      <c r="W23" s="42"/>
      <c r="X23" s="42"/>
      <c r="Y23" s="49"/>
      <c r="Z23" s="42"/>
      <c r="AA23" s="42"/>
      <c r="AB23" s="42"/>
      <c r="AC23" s="49"/>
      <c r="AD23" s="42"/>
      <c r="AE23" s="42"/>
      <c r="AF23" s="42"/>
      <c r="AG23" s="49"/>
      <c r="AH23" s="42"/>
      <c r="AI23" s="42"/>
      <c r="AJ23" s="42"/>
      <c r="AK23" s="49"/>
      <c r="AL23" s="42"/>
      <c r="AM23" s="42"/>
      <c r="AN23" s="42"/>
      <c r="AO23" s="49"/>
      <c r="AP23" s="42"/>
      <c r="AQ23" s="42"/>
      <c r="AR23" s="42"/>
      <c r="AS23" s="49"/>
      <c r="AT23" s="42"/>
      <c r="AU23" s="42"/>
      <c r="AV23" s="42"/>
      <c r="AW23" s="49"/>
      <c r="AX23" s="42"/>
      <c r="AY23" s="42"/>
      <c r="AZ23" s="42"/>
      <c r="BA23" s="49"/>
      <c r="BB23" s="42"/>
      <c r="BC23" s="42"/>
      <c r="BD23" s="42"/>
      <c r="BE23" s="42"/>
    </row>
    <row r="24" spans="1:57" x14ac:dyDescent="0.25">
      <c r="A24" s="3"/>
      <c r="B24" s="61"/>
      <c r="C24" s="63"/>
      <c r="D24" s="65"/>
      <c r="E24" s="38" t="s">
        <v>11</v>
      </c>
      <c r="F24" s="42"/>
      <c r="G24" s="42"/>
      <c r="H24" s="42"/>
      <c r="I24" s="49"/>
      <c r="J24" s="46"/>
      <c r="K24" s="42"/>
      <c r="L24" s="42"/>
      <c r="M24" s="49"/>
      <c r="N24" s="46"/>
      <c r="O24" s="42"/>
      <c r="P24" s="42"/>
      <c r="Q24" s="49"/>
      <c r="R24" s="46"/>
      <c r="S24" s="42"/>
      <c r="T24" s="55"/>
      <c r="U24" s="57"/>
      <c r="V24" s="55"/>
      <c r="W24" s="42"/>
      <c r="X24" s="42"/>
      <c r="Y24" s="49"/>
      <c r="Z24" s="42"/>
      <c r="AA24" s="42"/>
      <c r="AB24" s="42"/>
      <c r="AC24" s="49"/>
      <c r="AD24" s="42"/>
      <c r="AE24" s="42"/>
      <c r="AF24" s="42"/>
      <c r="AG24" s="49"/>
      <c r="AH24" s="42"/>
      <c r="AI24" s="42"/>
      <c r="AJ24" s="42"/>
      <c r="AK24" s="49"/>
      <c r="AL24" s="42"/>
      <c r="AM24" s="42"/>
      <c r="AN24" s="42"/>
      <c r="AO24" s="49"/>
      <c r="AP24" s="42"/>
      <c r="AQ24" s="42"/>
      <c r="AR24" s="42"/>
      <c r="AS24" s="49"/>
      <c r="AT24" s="42"/>
      <c r="AU24" s="42"/>
      <c r="AV24" s="42"/>
      <c r="AW24" s="49"/>
      <c r="AX24" s="42"/>
      <c r="AY24" s="42"/>
      <c r="AZ24" s="42"/>
      <c r="BA24" s="49"/>
      <c r="BB24" s="42"/>
      <c r="BC24" s="42"/>
      <c r="BD24" s="42"/>
      <c r="BE24" s="42"/>
    </row>
    <row r="25" spans="1:57" x14ac:dyDescent="0.25">
      <c r="A25" s="3"/>
      <c r="B25" s="60" t="s">
        <v>32</v>
      </c>
      <c r="C25" s="62">
        <f ca="1">CalculateWorktime(F25:BE25,Farbe_Soll)</f>
        <v>12</v>
      </c>
      <c r="D25" s="64">
        <f ca="1">CalculateWorktime(F26:BE26,Farbe_Ist)</f>
        <v>12</v>
      </c>
      <c r="E25" s="38" t="s">
        <v>10</v>
      </c>
      <c r="F25" s="42"/>
      <c r="G25" s="42"/>
      <c r="H25" s="42"/>
      <c r="I25" s="49"/>
      <c r="J25" s="46"/>
      <c r="K25" s="42"/>
      <c r="L25" s="42"/>
      <c r="M25" s="49"/>
      <c r="N25" s="46"/>
      <c r="O25" s="41"/>
      <c r="P25" s="42"/>
      <c r="Q25" s="49"/>
      <c r="R25" s="46"/>
      <c r="S25" s="42"/>
      <c r="T25" s="41"/>
      <c r="U25" s="48"/>
      <c r="V25" s="41"/>
      <c r="W25" s="42"/>
      <c r="X25" s="42"/>
      <c r="Y25" s="49"/>
      <c r="Z25" s="51"/>
      <c r="AA25" s="51"/>
      <c r="AB25" s="42"/>
      <c r="AC25" s="49"/>
      <c r="AD25" s="51"/>
      <c r="AE25" s="51"/>
      <c r="AF25" s="51"/>
      <c r="AG25" s="54"/>
      <c r="AH25" s="42"/>
      <c r="AI25" s="42"/>
      <c r="AJ25" s="42"/>
      <c r="AK25" s="49"/>
      <c r="AL25" s="42"/>
      <c r="AM25" s="42"/>
      <c r="AN25" s="42"/>
      <c r="AO25" s="49"/>
      <c r="AP25" s="42"/>
      <c r="AQ25" s="42"/>
      <c r="AR25" s="42"/>
      <c r="AS25" s="49"/>
      <c r="AT25" s="42"/>
      <c r="AU25" s="42"/>
      <c r="AV25" s="42"/>
      <c r="AW25" s="49"/>
      <c r="AX25" s="42"/>
      <c r="AY25" s="42"/>
      <c r="AZ25" s="42"/>
      <c r="BA25" s="49"/>
      <c r="BB25" s="42"/>
      <c r="BC25" s="42"/>
      <c r="BD25" s="42"/>
      <c r="BE25" s="42"/>
    </row>
    <row r="26" spans="1:57" x14ac:dyDescent="0.25">
      <c r="A26" s="3"/>
      <c r="B26" s="61"/>
      <c r="C26" s="63"/>
      <c r="D26" s="65"/>
      <c r="E26" s="38" t="s">
        <v>11</v>
      </c>
      <c r="F26" s="42"/>
      <c r="G26" s="42"/>
      <c r="H26" s="42"/>
      <c r="I26" s="49"/>
      <c r="J26" s="46"/>
      <c r="K26" s="42"/>
      <c r="L26" s="42"/>
      <c r="M26" s="49"/>
      <c r="N26" s="46"/>
      <c r="O26" s="42"/>
      <c r="P26" s="42"/>
      <c r="Q26" s="49"/>
      <c r="R26" s="46"/>
      <c r="S26" s="42"/>
      <c r="T26" s="41"/>
      <c r="U26" s="48"/>
      <c r="V26" s="41"/>
      <c r="W26" s="42"/>
      <c r="X26" s="42"/>
      <c r="Y26" s="49"/>
      <c r="Z26" s="55"/>
      <c r="AA26" s="55"/>
      <c r="AB26" s="42"/>
      <c r="AC26" s="49"/>
      <c r="AD26" s="55"/>
      <c r="AE26" s="55"/>
      <c r="AF26" s="55"/>
      <c r="AG26" s="57"/>
      <c r="AH26" s="42"/>
      <c r="AI26" s="42"/>
      <c r="AJ26" s="42"/>
      <c r="AK26" s="49"/>
      <c r="AL26" s="42"/>
      <c r="AM26" s="42"/>
      <c r="AN26" s="42"/>
      <c r="AO26" s="49"/>
      <c r="AP26" s="42"/>
      <c r="AQ26" s="42"/>
      <c r="AR26" s="42"/>
      <c r="AS26" s="49"/>
      <c r="AT26" s="42"/>
      <c r="AU26" s="42"/>
      <c r="AV26" s="42"/>
      <c r="AW26" s="49"/>
      <c r="AX26" s="42"/>
      <c r="AY26" s="42"/>
      <c r="AZ26" s="42"/>
      <c r="BA26" s="49"/>
      <c r="BB26" s="42"/>
      <c r="BC26" s="42"/>
      <c r="BD26" s="42"/>
      <c r="BE26" s="42"/>
    </row>
    <row r="27" spans="1:57" ht="18.75" x14ac:dyDescent="0.25">
      <c r="A27" s="3"/>
      <c r="B27" s="31" t="s">
        <v>4</v>
      </c>
      <c r="C27" s="44"/>
      <c r="D27" s="44"/>
      <c r="E27" s="44"/>
      <c r="F27" s="44"/>
      <c r="G27" s="44"/>
      <c r="H27" s="44"/>
      <c r="I27" s="47"/>
      <c r="J27" s="44"/>
      <c r="K27" s="44"/>
      <c r="L27" s="44"/>
      <c r="M27" s="47"/>
      <c r="N27" s="44"/>
      <c r="O27" s="44"/>
      <c r="P27" s="44"/>
      <c r="Q27" s="47"/>
      <c r="R27" s="44"/>
      <c r="S27" s="44"/>
      <c r="T27" s="44"/>
      <c r="U27" s="47"/>
      <c r="V27" s="44"/>
      <c r="W27" s="44"/>
      <c r="X27" s="44"/>
      <c r="Y27" s="47"/>
      <c r="Z27" s="44"/>
      <c r="AA27" s="44"/>
      <c r="AB27" s="44"/>
      <c r="AC27" s="47"/>
      <c r="AD27" s="44"/>
      <c r="AE27" s="44"/>
      <c r="AF27" s="44"/>
      <c r="AG27" s="47"/>
      <c r="AH27" s="44"/>
      <c r="AI27" s="44"/>
      <c r="AJ27" s="44"/>
      <c r="AK27" s="47"/>
      <c r="AL27" s="44"/>
      <c r="AM27" s="44"/>
      <c r="AN27" s="44"/>
      <c r="AO27" s="47"/>
      <c r="AP27" s="44"/>
      <c r="AQ27" s="44"/>
      <c r="AR27" s="44"/>
      <c r="AS27" s="47"/>
      <c r="AT27" s="44"/>
      <c r="AU27" s="44"/>
      <c r="AV27" s="44"/>
      <c r="AW27" s="47"/>
      <c r="AX27" s="44"/>
      <c r="AY27" s="44"/>
      <c r="AZ27" s="44"/>
      <c r="BA27" s="47"/>
      <c r="BB27" s="44"/>
      <c r="BC27" s="44"/>
      <c r="BD27" s="44"/>
      <c r="BE27" s="44"/>
    </row>
    <row r="28" spans="1:57" x14ac:dyDescent="0.25">
      <c r="A28" s="3"/>
      <c r="B28" s="73" t="s">
        <v>24</v>
      </c>
      <c r="C28" s="77">
        <f ca="1">CalculateWorktime(F28:BE28,Farbe_Soll)</f>
        <v>2</v>
      </c>
      <c r="D28" s="76">
        <f ca="1">CalculateWorktime(F29:BE29,Farbe_Ist)</f>
        <v>2</v>
      </c>
      <c r="E28" s="38" t="s">
        <v>10</v>
      </c>
      <c r="F28" s="42"/>
      <c r="G28" s="42"/>
      <c r="H28" s="42"/>
      <c r="I28" s="49"/>
      <c r="J28" s="46"/>
      <c r="K28" s="42"/>
      <c r="L28" s="42"/>
      <c r="M28" s="49"/>
      <c r="N28" s="46"/>
      <c r="O28" s="42"/>
      <c r="P28" s="42"/>
      <c r="Q28" s="49"/>
      <c r="R28" s="46"/>
      <c r="S28" s="42"/>
      <c r="T28" s="42"/>
      <c r="U28" s="49"/>
      <c r="V28" s="42"/>
      <c r="W28" s="42"/>
      <c r="X28" s="42"/>
      <c r="Y28" s="49"/>
      <c r="Z28" s="42"/>
      <c r="AA28" s="42"/>
      <c r="AB28" s="42"/>
      <c r="AC28" s="49"/>
      <c r="AD28" s="42"/>
      <c r="AE28" s="42"/>
      <c r="AF28" s="42"/>
      <c r="AG28" s="49"/>
      <c r="AH28" s="51"/>
      <c r="AI28" s="42"/>
      <c r="AJ28" s="42"/>
      <c r="AK28" s="49"/>
      <c r="AL28" s="42"/>
      <c r="AM28" s="42"/>
      <c r="AN28" s="42"/>
      <c r="AO28" s="49"/>
      <c r="AP28" s="42"/>
      <c r="AQ28" s="42"/>
      <c r="AR28" s="42"/>
      <c r="AS28" s="49"/>
      <c r="AT28" s="42"/>
      <c r="AU28" s="42"/>
      <c r="AV28" s="42"/>
      <c r="AW28" s="49"/>
      <c r="AX28" s="42"/>
      <c r="AY28" s="42"/>
      <c r="AZ28" s="42"/>
      <c r="BA28" s="49"/>
      <c r="BB28" s="42"/>
      <c r="BC28" s="42"/>
      <c r="BD28" s="42"/>
      <c r="BE28" s="42"/>
    </row>
    <row r="29" spans="1:57" x14ac:dyDescent="0.25">
      <c r="A29" s="3"/>
      <c r="B29" s="72"/>
      <c r="C29" s="78"/>
      <c r="D29" s="75"/>
      <c r="E29" s="38" t="s">
        <v>11</v>
      </c>
      <c r="F29" s="42"/>
      <c r="G29" s="42"/>
      <c r="H29" s="42"/>
      <c r="I29" s="49"/>
      <c r="J29" s="46"/>
      <c r="K29" s="42"/>
      <c r="L29" s="42"/>
      <c r="M29" s="49"/>
      <c r="N29" s="46"/>
      <c r="O29" s="42"/>
      <c r="P29" s="42"/>
      <c r="Q29" s="49"/>
      <c r="R29" s="46"/>
      <c r="S29" s="42"/>
      <c r="T29" s="42"/>
      <c r="U29" s="49"/>
      <c r="V29" s="42"/>
      <c r="W29" s="42"/>
      <c r="X29" s="42"/>
      <c r="Y29" s="49"/>
      <c r="Z29" s="42"/>
      <c r="AA29" s="42"/>
      <c r="AB29" s="42"/>
      <c r="AC29" s="49"/>
      <c r="AD29" s="42"/>
      <c r="AE29" s="42"/>
      <c r="AF29" s="42"/>
      <c r="AG29" s="49"/>
      <c r="AH29" s="55"/>
      <c r="AI29" s="42"/>
      <c r="AJ29" s="42"/>
      <c r="AK29" s="49"/>
      <c r="AL29" s="42"/>
      <c r="AM29" s="42"/>
      <c r="AN29" s="42"/>
      <c r="AO29" s="49"/>
      <c r="AP29" s="42"/>
      <c r="AQ29" s="42"/>
      <c r="AR29" s="42"/>
      <c r="AS29" s="49"/>
      <c r="AT29" s="42"/>
      <c r="AU29" s="42"/>
      <c r="AV29" s="42"/>
      <c r="AW29" s="49"/>
      <c r="AX29" s="42"/>
      <c r="AY29" s="42"/>
      <c r="AZ29" s="42"/>
      <c r="BA29" s="49"/>
      <c r="BB29" s="42"/>
      <c r="BC29" s="42"/>
      <c r="BD29" s="42"/>
      <c r="BE29" s="42"/>
    </row>
    <row r="30" spans="1:57" ht="18.75" x14ac:dyDescent="0.25">
      <c r="A30" s="3"/>
      <c r="B30" s="31" t="s">
        <v>5</v>
      </c>
      <c r="C30" s="44"/>
      <c r="D30" s="44"/>
      <c r="E30" s="44"/>
      <c r="F30" s="44"/>
      <c r="G30" s="44"/>
      <c r="H30" s="44"/>
      <c r="I30" s="47"/>
      <c r="J30" s="44"/>
      <c r="K30" s="44"/>
      <c r="L30" s="44"/>
      <c r="M30" s="47"/>
      <c r="N30" s="44"/>
      <c r="O30" s="44"/>
      <c r="P30" s="44"/>
      <c r="Q30" s="47"/>
      <c r="R30" s="44"/>
      <c r="S30" s="44"/>
      <c r="T30" s="44"/>
      <c r="U30" s="47"/>
      <c r="V30" s="44"/>
      <c r="W30" s="44"/>
      <c r="X30" s="44"/>
      <c r="Y30" s="47"/>
      <c r="Z30" s="44"/>
      <c r="AA30" s="44"/>
      <c r="AB30" s="44"/>
      <c r="AC30" s="47"/>
      <c r="AD30" s="44"/>
      <c r="AE30" s="44"/>
      <c r="AF30" s="44"/>
      <c r="AG30" s="47"/>
      <c r="AH30" s="44"/>
      <c r="AI30" s="44"/>
      <c r="AJ30" s="44"/>
      <c r="AK30" s="47"/>
      <c r="AL30" s="44"/>
      <c r="AM30" s="44"/>
      <c r="AN30" s="44"/>
      <c r="AO30" s="47"/>
      <c r="AP30" s="44"/>
      <c r="AQ30" s="44"/>
      <c r="AR30" s="44"/>
      <c r="AS30" s="47"/>
      <c r="AT30" s="44"/>
      <c r="AU30" s="44"/>
      <c r="AV30" s="44"/>
      <c r="AW30" s="47"/>
      <c r="AX30" s="44"/>
      <c r="AY30" s="44"/>
      <c r="AZ30" s="44"/>
      <c r="BA30" s="47"/>
      <c r="BB30" s="44"/>
      <c r="BC30" s="44"/>
      <c r="BD30" s="44"/>
      <c r="BE30" s="44"/>
    </row>
    <row r="31" spans="1:57" x14ac:dyDescent="0.25">
      <c r="A31" s="3"/>
      <c r="B31" s="73" t="s">
        <v>22</v>
      </c>
      <c r="C31" s="77">
        <f ca="1">CalculateWorktime(F31:BE31,Farbe_Soll)</f>
        <v>2</v>
      </c>
      <c r="D31" s="76">
        <f ca="1">CalculateWorktime(F32:BE32,Farbe_Ist)</f>
        <v>2</v>
      </c>
      <c r="E31" s="39" t="s">
        <v>10</v>
      </c>
      <c r="F31" s="42"/>
      <c r="G31" s="42"/>
      <c r="H31" s="42"/>
      <c r="I31" s="49"/>
      <c r="J31" s="46"/>
      <c r="K31" s="42"/>
      <c r="L31" s="42"/>
      <c r="M31" s="49"/>
      <c r="N31" s="46"/>
      <c r="O31" s="42"/>
      <c r="P31" s="42"/>
      <c r="Q31" s="49"/>
      <c r="R31" s="46"/>
      <c r="S31" s="42"/>
      <c r="T31" s="42"/>
      <c r="U31" s="49"/>
      <c r="V31" s="42"/>
      <c r="W31" s="42"/>
      <c r="X31" s="42"/>
      <c r="Y31" s="49"/>
      <c r="Z31" s="42"/>
      <c r="AA31" s="42"/>
      <c r="AB31" s="42"/>
      <c r="AC31" s="49"/>
      <c r="AD31" s="42"/>
      <c r="AE31" s="42"/>
      <c r="AF31" s="42"/>
      <c r="AG31" s="49"/>
      <c r="AH31" s="42"/>
      <c r="AI31" s="51"/>
      <c r="AJ31" s="42"/>
      <c r="AK31" s="49"/>
      <c r="AL31" s="42"/>
      <c r="AM31" s="42"/>
      <c r="AN31" s="42"/>
      <c r="AO31" s="49"/>
      <c r="AP31" s="42"/>
      <c r="AQ31" s="42"/>
      <c r="AR31" s="42"/>
      <c r="AS31" s="49"/>
      <c r="AT31" s="42"/>
      <c r="AU31" s="42"/>
      <c r="AV31" s="42"/>
      <c r="AW31" s="49"/>
      <c r="AX31" s="42"/>
      <c r="AY31" s="42"/>
      <c r="AZ31" s="42"/>
      <c r="BA31" s="49"/>
      <c r="BB31" s="42"/>
      <c r="BC31" s="42"/>
      <c r="BD31" s="42"/>
      <c r="BE31" s="42"/>
    </row>
    <row r="32" spans="1:57" x14ac:dyDescent="0.25">
      <c r="A32" s="3"/>
      <c r="B32" s="61"/>
      <c r="C32" s="63"/>
      <c r="D32" s="65"/>
      <c r="E32" s="40" t="s">
        <v>11</v>
      </c>
      <c r="F32" s="42"/>
      <c r="G32" s="42"/>
      <c r="H32" s="42"/>
      <c r="I32" s="49"/>
      <c r="J32" s="46"/>
      <c r="K32" s="42"/>
      <c r="L32" s="42"/>
      <c r="M32" s="49"/>
      <c r="N32" s="46"/>
      <c r="O32" s="42"/>
      <c r="P32" s="42"/>
      <c r="Q32" s="49"/>
      <c r="R32" s="46"/>
      <c r="S32" s="42"/>
      <c r="T32" s="42"/>
      <c r="U32" s="49"/>
      <c r="V32" s="42"/>
      <c r="W32" s="42"/>
      <c r="X32" s="42"/>
      <c r="Y32" s="49"/>
      <c r="Z32" s="42"/>
      <c r="AA32" s="42"/>
      <c r="AB32" s="42"/>
      <c r="AC32" s="49"/>
      <c r="AD32" s="42"/>
      <c r="AE32" s="42"/>
      <c r="AF32" s="42"/>
      <c r="AG32" s="49"/>
      <c r="AH32" s="42"/>
      <c r="AI32" s="55"/>
      <c r="AJ32" s="42"/>
      <c r="AK32" s="49"/>
      <c r="AL32" s="42"/>
      <c r="AM32" s="42"/>
      <c r="AN32" s="42"/>
      <c r="AO32" s="49"/>
      <c r="AP32" s="42"/>
      <c r="AQ32" s="42"/>
      <c r="AR32" s="42"/>
      <c r="AS32" s="49"/>
      <c r="AT32" s="42"/>
      <c r="AU32" s="42"/>
      <c r="AV32" s="42"/>
      <c r="AW32" s="49"/>
      <c r="AX32" s="42"/>
      <c r="AY32" s="42"/>
      <c r="AZ32" s="42"/>
      <c r="BA32" s="49"/>
      <c r="BB32" s="42"/>
      <c r="BC32" s="42"/>
      <c r="BD32" s="42"/>
      <c r="BE32" s="42"/>
    </row>
    <row r="33" spans="1:57" x14ac:dyDescent="0.25">
      <c r="A33" s="30"/>
      <c r="B33" s="3"/>
      <c r="C33" s="34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</row>
    <row r="34" spans="1:57" x14ac:dyDescent="0.25">
      <c r="A34" s="30"/>
    </row>
    <row r="35" spans="1:57" x14ac:dyDescent="0.25">
      <c r="A35" s="3"/>
    </row>
  </sheetData>
  <sheetProtection selectLockedCells="1" selectUnlockedCells="1"/>
  <mergeCells count="60">
    <mergeCell ref="B21:B22"/>
    <mergeCell ref="C21:C22"/>
    <mergeCell ref="D21:D22"/>
    <mergeCell ref="B14:B15"/>
    <mergeCell ref="C14:C15"/>
    <mergeCell ref="D14:D15"/>
    <mergeCell ref="B19:B20"/>
    <mergeCell ref="C19:C20"/>
    <mergeCell ref="D19:D20"/>
    <mergeCell ref="D9:D10"/>
    <mergeCell ref="C9:C10"/>
    <mergeCell ref="C12:C13"/>
    <mergeCell ref="C16:C17"/>
    <mergeCell ref="B31:B32"/>
    <mergeCell ref="B28:B29"/>
    <mergeCell ref="D28:D29"/>
    <mergeCell ref="D31:D32"/>
    <mergeCell ref="C28:C29"/>
    <mergeCell ref="C31:C32"/>
    <mergeCell ref="BB7:BE7"/>
    <mergeCell ref="BB6:BE6"/>
    <mergeCell ref="AX6:BA6"/>
    <mergeCell ref="B16:B17"/>
    <mergeCell ref="AH6:AK6"/>
    <mergeCell ref="AH7:AK7"/>
    <mergeCell ref="V6:Y6"/>
    <mergeCell ref="B12:B13"/>
    <mergeCell ref="B9:B10"/>
    <mergeCell ref="C6:D7"/>
    <mergeCell ref="AL7:AO7"/>
    <mergeCell ref="AP7:AS7"/>
    <mergeCell ref="D16:D17"/>
    <mergeCell ref="D12:D13"/>
    <mergeCell ref="J6:M6"/>
    <mergeCell ref="N6:Q6"/>
    <mergeCell ref="R6:U6"/>
    <mergeCell ref="AD7:AG7"/>
    <mergeCell ref="AT7:AW7"/>
    <mergeCell ref="F5:BE5"/>
    <mergeCell ref="B5:D5"/>
    <mergeCell ref="AL6:AO6"/>
    <mergeCell ref="AP6:AS6"/>
    <mergeCell ref="AT6:AW6"/>
    <mergeCell ref="F6:I6"/>
    <mergeCell ref="Z6:AC6"/>
    <mergeCell ref="B6:B7"/>
    <mergeCell ref="AX7:BA7"/>
    <mergeCell ref="AD6:AG6"/>
    <mergeCell ref="F7:I7"/>
    <mergeCell ref="J7:M7"/>
    <mergeCell ref="N7:Q7"/>
    <mergeCell ref="R7:U7"/>
    <mergeCell ref="V7:Y7"/>
    <mergeCell ref="Z7:AC7"/>
    <mergeCell ref="B23:B24"/>
    <mergeCell ref="C23:C24"/>
    <mergeCell ref="D23:D24"/>
    <mergeCell ref="B25:B26"/>
    <mergeCell ref="C25:C26"/>
    <mergeCell ref="D25:D26"/>
  </mergeCells>
  <conditionalFormatting sqref="H3:K3">
    <cfRule type="expression" dxfId="384" priority="1192">
      <formula>H3="F"</formula>
    </cfRule>
    <cfRule type="expression" dxfId="383" priority="1193">
      <formula>H$1=""</formula>
    </cfRule>
    <cfRule type="expression" dxfId="382" priority="1194">
      <formula>H$1&lt;&gt;""</formula>
    </cfRule>
    <cfRule type="expression" dxfId="381" priority="1195">
      <formula>H3="R"</formula>
    </cfRule>
    <cfRule type="expression" dxfId="380" priority="1196">
      <formula>H3="V"</formula>
    </cfRule>
    <cfRule type="expression" dxfId="379" priority="1197">
      <formula>H3="G"</formula>
    </cfRule>
    <cfRule type="expression" dxfId="378" priority="1198">
      <formula>H3="U"</formula>
    </cfRule>
    <cfRule type="expression" dxfId="377" priority="1199">
      <formula>H3="P"</formula>
    </cfRule>
  </conditionalFormatting>
  <conditionalFormatting sqref="F6">
    <cfRule type="expression" dxfId="376" priority="1522">
      <formula>F6="F"</formula>
    </cfRule>
    <cfRule type="expression" dxfId="375" priority="1523">
      <formula>D$1=""</formula>
    </cfRule>
    <cfRule type="expression" dxfId="374" priority="1524">
      <formula>D$1&lt;&gt;""</formula>
    </cfRule>
    <cfRule type="expression" dxfId="373" priority="1525">
      <formula>F6="R"</formula>
    </cfRule>
    <cfRule type="expression" dxfId="372" priority="1526">
      <formula>F6="V"</formula>
    </cfRule>
    <cfRule type="expression" dxfId="371" priority="1527">
      <formula>F6="G"</formula>
    </cfRule>
    <cfRule type="expression" dxfId="370" priority="1528">
      <formula>F6="U"</formula>
    </cfRule>
    <cfRule type="expression" dxfId="369" priority="1529">
      <formula>F6="P"</formula>
    </cfRule>
  </conditionalFormatting>
  <conditionalFormatting sqref="F6:F7">
    <cfRule type="expression" dxfId="368" priority="1496">
      <formula>WEEKDAY(D$2,3)&gt;=WEEKDAY(H$2,3)</formula>
    </cfRule>
  </conditionalFormatting>
  <conditionalFormatting sqref="G1">
    <cfRule type="expression" dxfId="367" priority="1464">
      <formula>G1="F"</formula>
    </cfRule>
    <cfRule type="expression" dxfId="366" priority="1465">
      <formula>G$1=""</formula>
    </cfRule>
    <cfRule type="expression" dxfId="365" priority="1466">
      <formula>G$1&lt;&gt;""</formula>
    </cfRule>
    <cfRule type="expression" dxfId="364" priority="1467">
      <formula>G1="R"</formula>
    </cfRule>
    <cfRule type="expression" dxfId="363" priority="1468">
      <formula>G1="V"</formula>
    </cfRule>
    <cfRule type="expression" dxfId="362" priority="1469">
      <formula>G1="G"</formula>
    </cfRule>
    <cfRule type="expression" dxfId="361" priority="1470">
      <formula>G1="U"</formula>
    </cfRule>
    <cfRule type="expression" dxfId="360" priority="1471">
      <formula>G1="P"</formula>
    </cfRule>
  </conditionalFormatting>
  <conditionalFormatting sqref="G2">
    <cfRule type="expression" dxfId="359" priority="1456">
      <formula>G2="F"</formula>
    </cfRule>
    <cfRule type="expression" dxfId="358" priority="1457">
      <formula>G$1=""</formula>
    </cfRule>
    <cfRule type="expression" dxfId="357" priority="1458">
      <formula>G$1&lt;&gt;""</formula>
    </cfRule>
    <cfRule type="expression" dxfId="356" priority="1459">
      <formula>G2="R"</formula>
    </cfRule>
    <cfRule type="expression" dxfId="355" priority="1460">
      <formula>G2="V"</formula>
    </cfRule>
    <cfRule type="expression" dxfId="354" priority="1461">
      <formula>G2="G"</formula>
    </cfRule>
    <cfRule type="expression" dxfId="353" priority="1462">
      <formula>G2="U"</formula>
    </cfRule>
    <cfRule type="expression" dxfId="352" priority="1463">
      <formula>G2="P"</formula>
    </cfRule>
  </conditionalFormatting>
  <conditionalFormatting sqref="H1:K1">
    <cfRule type="expression" dxfId="351" priority="1448">
      <formula>H1="F"</formula>
    </cfRule>
    <cfRule type="expression" dxfId="350" priority="1449">
      <formula>H$1=""</formula>
    </cfRule>
    <cfRule type="expression" dxfId="349" priority="1450">
      <formula>H$1&lt;&gt;""</formula>
    </cfRule>
    <cfRule type="expression" dxfId="348" priority="1451">
      <formula>H1="R"</formula>
    </cfRule>
    <cfRule type="expression" dxfId="347" priority="1452">
      <formula>H1="V"</formula>
    </cfRule>
    <cfRule type="expression" dxfId="346" priority="1453">
      <formula>H1="G"</formula>
    </cfRule>
    <cfRule type="expression" dxfId="345" priority="1454">
      <formula>H1="U"</formula>
    </cfRule>
    <cfRule type="expression" dxfId="344" priority="1455">
      <formula>H1="P"</formula>
    </cfRule>
  </conditionalFormatting>
  <conditionalFormatting sqref="L1:O1">
    <cfRule type="expression" dxfId="343" priority="1440">
      <formula>L1="F"</formula>
    </cfRule>
    <cfRule type="expression" dxfId="342" priority="1441">
      <formula>L$1=""</formula>
    </cfRule>
    <cfRule type="expression" dxfId="341" priority="1442">
      <formula>L$1&lt;&gt;""</formula>
    </cfRule>
    <cfRule type="expression" dxfId="340" priority="1443">
      <formula>L1="R"</formula>
    </cfRule>
    <cfRule type="expression" dxfId="339" priority="1444">
      <formula>L1="V"</formula>
    </cfRule>
    <cfRule type="expression" dxfId="338" priority="1445">
      <formula>L1="G"</formula>
    </cfRule>
    <cfRule type="expression" dxfId="337" priority="1446">
      <formula>L1="U"</formula>
    </cfRule>
    <cfRule type="expression" dxfId="336" priority="1447">
      <formula>L1="P"</formula>
    </cfRule>
  </conditionalFormatting>
  <conditionalFormatting sqref="AZ1:BC1">
    <cfRule type="expression" dxfId="335" priority="1432">
      <formula>AZ1="F"</formula>
    </cfRule>
    <cfRule type="expression" dxfId="334" priority="1433">
      <formula>AZ$1=""</formula>
    </cfRule>
    <cfRule type="expression" dxfId="333" priority="1434">
      <formula>AZ$1&lt;&gt;""</formula>
    </cfRule>
    <cfRule type="expression" dxfId="332" priority="1435">
      <formula>AZ1="R"</formula>
    </cfRule>
    <cfRule type="expression" dxfId="331" priority="1436">
      <formula>AZ1="V"</formula>
    </cfRule>
    <cfRule type="expression" dxfId="330" priority="1437">
      <formula>AZ1="G"</formula>
    </cfRule>
    <cfRule type="expression" dxfId="329" priority="1438">
      <formula>AZ1="U"</formula>
    </cfRule>
    <cfRule type="expression" dxfId="328" priority="1439">
      <formula>AZ1="P"</formula>
    </cfRule>
  </conditionalFormatting>
  <conditionalFormatting sqref="AV1:AY1">
    <cfRule type="expression" dxfId="327" priority="1424">
      <formula>AV1="F"</formula>
    </cfRule>
    <cfRule type="expression" dxfId="326" priority="1425">
      <formula>AV$1=""</formula>
    </cfRule>
    <cfRule type="expression" dxfId="325" priority="1426">
      <formula>AV$1&lt;&gt;""</formula>
    </cfRule>
    <cfRule type="expression" dxfId="324" priority="1427">
      <formula>AV1="R"</formula>
    </cfRule>
    <cfRule type="expression" dxfId="323" priority="1428">
      <formula>AV1="V"</formula>
    </cfRule>
    <cfRule type="expression" dxfId="322" priority="1429">
      <formula>AV1="G"</formula>
    </cfRule>
    <cfRule type="expression" dxfId="321" priority="1430">
      <formula>AV1="U"</formula>
    </cfRule>
    <cfRule type="expression" dxfId="320" priority="1431">
      <formula>AV1="P"</formula>
    </cfRule>
  </conditionalFormatting>
  <conditionalFormatting sqref="AR1:AU1">
    <cfRule type="expression" dxfId="319" priority="1416">
      <formula>AR1="F"</formula>
    </cfRule>
    <cfRule type="expression" dxfId="318" priority="1417">
      <formula>AR$1=""</formula>
    </cfRule>
    <cfRule type="expression" dxfId="317" priority="1418">
      <formula>AR$1&lt;&gt;""</formula>
    </cfRule>
    <cfRule type="expression" dxfId="316" priority="1419">
      <formula>AR1="R"</formula>
    </cfRule>
    <cfRule type="expression" dxfId="315" priority="1420">
      <formula>AR1="V"</formula>
    </cfRule>
    <cfRule type="expression" dxfId="314" priority="1421">
      <formula>AR1="G"</formula>
    </cfRule>
    <cfRule type="expression" dxfId="313" priority="1422">
      <formula>AR1="U"</formula>
    </cfRule>
    <cfRule type="expression" dxfId="312" priority="1423">
      <formula>AR1="P"</formula>
    </cfRule>
  </conditionalFormatting>
  <conditionalFormatting sqref="AN1:AQ1">
    <cfRule type="expression" dxfId="311" priority="1408">
      <formula>AN1="F"</formula>
    </cfRule>
    <cfRule type="expression" dxfId="310" priority="1409">
      <formula>AN$1=""</formula>
    </cfRule>
    <cfRule type="expression" dxfId="309" priority="1410">
      <formula>AN$1&lt;&gt;""</formula>
    </cfRule>
    <cfRule type="expression" dxfId="308" priority="1411">
      <formula>AN1="R"</formula>
    </cfRule>
    <cfRule type="expression" dxfId="307" priority="1412">
      <formula>AN1="V"</formula>
    </cfRule>
    <cfRule type="expression" dxfId="306" priority="1413">
      <formula>AN1="G"</formula>
    </cfRule>
    <cfRule type="expression" dxfId="305" priority="1414">
      <formula>AN1="U"</formula>
    </cfRule>
    <cfRule type="expression" dxfId="304" priority="1415">
      <formula>AN1="P"</formula>
    </cfRule>
  </conditionalFormatting>
  <conditionalFormatting sqref="AJ1:AM1">
    <cfRule type="expression" dxfId="303" priority="1400">
      <formula>AJ1="F"</formula>
    </cfRule>
    <cfRule type="expression" dxfId="302" priority="1401">
      <formula>AJ$1=""</formula>
    </cfRule>
    <cfRule type="expression" dxfId="301" priority="1402">
      <formula>AJ$1&lt;&gt;""</formula>
    </cfRule>
    <cfRule type="expression" dxfId="300" priority="1403">
      <formula>AJ1="R"</formula>
    </cfRule>
    <cfRule type="expression" dxfId="299" priority="1404">
      <formula>AJ1="V"</formula>
    </cfRule>
    <cfRule type="expression" dxfId="298" priority="1405">
      <formula>AJ1="G"</formula>
    </cfRule>
    <cfRule type="expression" dxfId="297" priority="1406">
      <formula>AJ1="U"</formula>
    </cfRule>
    <cfRule type="expression" dxfId="296" priority="1407">
      <formula>AJ1="P"</formula>
    </cfRule>
  </conditionalFormatting>
  <conditionalFormatting sqref="AF1:AI1">
    <cfRule type="expression" dxfId="295" priority="1392">
      <formula>AF1="F"</formula>
    </cfRule>
    <cfRule type="expression" dxfId="294" priority="1393">
      <formula>AF$1=""</formula>
    </cfRule>
    <cfRule type="expression" dxfId="293" priority="1394">
      <formula>AF$1&lt;&gt;""</formula>
    </cfRule>
    <cfRule type="expression" dxfId="292" priority="1395">
      <formula>AF1="R"</formula>
    </cfRule>
    <cfRule type="expression" dxfId="291" priority="1396">
      <formula>AF1="V"</formula>
    </cfRule>
    <cfRule type="expression" dxfId="290" priority="1397">
      <formula>AF1="G"</formula>
    </cfRule>
    <cfRule type="expression" dxfId="289" priority="1398">
      <formula>AF1="U"</formula>
    </cfRule>
    <cfRule type="expression" dxfId="288" priority="1399">
      <formula>AF1="P"</formula>
    </cfRule>
  </conditionalFormatting>
  <conditionalFormatting sqref="AB1:AE1">
    <cfRule type="expression" dxfId="287" priority="1384">
      <formula>AB1="F"</formula>
    </cfRule>
    <cfRule type="expression" dxfId="286" priority="1385">
      <formula>AB$1=""</formula>
    </cfRule>
    <cfRule type="expression" dxfId="285" priority="1386">
      <formula>AB$1&lt;&gt;""</formula>
    </cfRule>
    <cfRule type="expression" dxfId="284" priority="1387">
      <formula>AB1="R"</formula>
    </cfRule>
    <cfRule type="expression" dxfId="283" priority="1388">
      <formula>AB1="V"</formula>
    </cfRule>
    <cfRule type="expression" dxfId="282" priority="1389">
      <formula>AB1="G"</formula>
    </cfRule>
    <cfRule type="expression" dxfId="281" priority="1390">
      <formula>AB1="U"</formula>
    </cfRule>
    <cfRule type="expression" dxfId="280" priority="1391">
      <formula>AB1="P"</formula>
    </cfRule>
  </conditionalFormatting>
  <conditionalFormatting sqref="X1:AA1">
    <cfRule type="expression" dxfId="279" priority="1376">
      <formula>X1="F"</formula>
    </cfRule>
    <cfRule type="expression" dxfId="278" priority="1377">
      <formula>X$1=""</formula>
    </cfRule>
    <cfRule type="expression" dxfId="277" priority="1378">
      <formula>X$1&lt;&gt;""</formula>
    </cfRule>
    <cfRule type="expression" dxfId="276" priority="1379">
      <formula>X1="R"</formula>
    </cfRule>
    <cfRule type="expression" dxfId="275" priority="1380">
      <formula>X1="V"</formula>
    </cfRule>
    <cfRule type="expression" dxfId="274" priority="1381">
      <formula>X1="G"</formula>
    </cfRule>
    <cfRule type="expression" dxfId="273" priority="1382">
      <formula>X1="U"</formula>
    </cfRule>
    <cfRule type="expression" dxfId="272" priority="1383">
      <formula>X1="P"</formula>
    </cfRule>
  </conditionalFormatting>
  <conditionalFormatting sqref="T1:W1">
    <cfRule type="expression" dxfId="271" priority="1368">
      <formula>T1="F"</formula>
    </cfRule>
    <cfRule type="expression" dxfId="270" priority="1369">
      <formula>T$1=""</formula>
    </cfRule>
    <cfRule type="expression" dxfId="269" priority="1370">
      <formula>T$1&lt;&gt;""</formula>
    </cfRule>
    <cfRule type="expression" dxfId="268" priority="1371">
      <formula>T1="R"</formula>
    </cfRule>
    <cfRule type="expression" dxfId="267" priority="1372">
      <formula>T1="V"</formula>
    </cfRule>
    <cfRule type="expression" dxfId="266" priority="1373">
      <formula>T1="G"</formula>
    </cfRule>
    <cfRule type="expression" dxfId="265" priority="1374">
      <formula>T1="U"</formula>
    </cfRule>
    <cfRule type="expression" dxfId="264" priority="1375">
      <formula>T1="P"</formula>
    </cfRule>
  </conditionalFormatting>
  <conditionalFormatting sqref="P1:S1">
    <cfRule type="expression" dxfId="263" priority="1360">
      <formula>P1="F"</formula>
    </cfRule>
    <cfRule type="expression" dxfId="262" priority="1361">
      <formula>P$1=""</formula>
    </cfRule>
    <cfRule type="expression" dxfId="261" priority="1362">
      <formula>P$1&lt;&gt;""</formula>
    </cfRule>
    <cfRule type="expression" dxfId="260" priority="1363">
      <formula>P1="R"</formula>
    </cfRule>
    <cfRule type="expression" dxfId="259" priority="1364">
      <formula>P1="V"</formula>
    </cfRule>
    <cfRule type="expression" dxfId="258" priority="1365">
      <formula>P1="G"</formula>
    </cfRule>
    <cfRule type="expression" dxfId="257" priority="1366">
      <formula>P1="U"</formula>
    </cfRule>
    <cfRule type="expression" dxfId="256" priority="1367">
      <formula>P1="P"</formula>
    </cfRule>
  </conditionalFormatting>
  <conditionalFormatting sqref="AZ2:BC2">
    <cfRule type="expression" dxfId="255" priority="1352">
      <formula>AZ2="F"</formula>
    </cfRule>
    <cfRule type="expression" dxfId="254" priority="1353">
      <formula>AZ$1=""</formula>
    </cfRule>
    <cfRule type="expression" dxfId="253" priority="1354">
      <formula>AZ$1&lt;&gt;""</formula>
    </cfRule>
    <cfRule type="expression" dxfId="252" priority="1355">
      <formula>AZ2="R"</formula>
    </cfRule>
    <cfRule type="expression" dxfId="251" priority="1356">
      <formula>AZ2="V"</formula>
    </cfRule>
    <cfRule type="expression" dxfId="250" priority="1357">
      <formula>AZ2="G"</formula>
    </cfRule>
    <cfRule type="expression" dxfId="249" priority="1358">
      <formula>AZ2="U"</formula>
    </cfRule>
    <cfRule type="expression" dxfId="248" priority="1359">
      <formula>AZ2="P"</formula>
    </cfRule>
  </conditionalFormatting>
  <conditionalFormatting sqref="AV2:AY2">
    <cfRule type="expression" dxfId="247" priority="1344">
      <formula>AV2="F"</formula>
    </cfRule>
    <cfRule type="expression" dxfId="246" priority="1345">
      <formula>AV$1=""</formula>
    </cfRule>
    <cfRule type="expression" dxfId="245" priority="1346">
      <formula>AV$1&lt;&gt;""</formula>
    </cfRule>
    <cfRule type="expression" dxfId="244" priority="1347">
      <formula>AV2="R"</formula>
    </cfRule>
    <cfRule type="expression" dxfId="243" priority="1348">
      <formula>AV2="V"</formula>
    </cfRule>
    <cfRule type="expression" dxfId="242" priority="1349">
      <formula>AV2="G"</formula>
    </cfRule>
    <cfRule type="expression" dxfId="241" priority="1350">
      <formula>AV2="U"</formula>
    </cfRule>
    <cfRule type="expression" dxfId="240" priority="1351">
      <formula>AV2="P"</formula>
    </cfRule>
  </conditionalFormatting>
  <conditionalFormatting sqref="AR2:AU2">
    <cfRule type="expression" dxfId="239" priority="1336">
      <formula>AR2="F"</formula>
    </cfRule>
    <cfRule type="expression" dxfId="238" priority="1337">
      <formula>AR$1=""</formula>
    </cfRule>
    <cfRule type="expression" dxfId="237" priority="1338">
      <formula>AR$1&lt;&gt;""</formula>
    </cfRule>
    <cfRule type="expression" dxfId="236" priority="1339">
      <formula>AR2="R"</formula>
    </cfRule>
    <cfRule type="expression" dxfId="235" priority="1340">
      <formula>AR2="V"</formula>
    </cfRule>
    <cfRule type="expression" dxfId="234" priority="1341">
      <formula>AR2="G"</formula>
    </cfRule>
    <cfRule type="expression" dxfId="233" priority="1342">
      <formula>AR2="U"</formula>
    </cfRule>
    <cfRule type="expression" dxfId="232" priority="1343">
      <formula>AR2="P"</formula>
    </cfRule>
  </conditionalFormatting>
  <conditionalFormatting sqref="AN2:AQ2">
    <cfRule type="expression" dxfId="231" priority="1328">
      <formula>AN2="F"</formula>
    </cfRule>
    <cfRule type="expression" dxfId="230" priority="1329">
      <formula>AN$1=""</formula>
    </cfRule>
    <cfRule type="expression" dxfId="229" priority="1330">
      <formula>AN$1&lt;&gt;""</formula>
    </cfRule>
    <cfRule type="expression" dxfId="228" priority="1331">
      <formula>AN2="R"</formula>
    </cfRule>
    <cfRule type="expression" dxfId="227" priority="1332">
      <formula>AN2="V"</formula>
    </cfRule>
    <cfRule type="expression" dxfId="226" priority="1333">
      <formula>AN2="G"</formula>
    </cfRule>
    <cfRule type="expression" dxfId="225" priority="1334">
      <formula>AN2="U"</formula>
    </cfRule>
    <cfRule type="expression" dxfId="224" priority="1335">
      <formula>AN2="P"</formula>
    </cfRule>
  </conditionalFormatting>
  <conditionalFormatting sqref="AJ2:AM2">
    <cfRule type="expression" dxfId="223" priority="1320">
      <formula>AJ2="F"</formula>
    </cfRule>
    <cfRule type="expression" dxfId="222" priority="1321">
      <formula>AJ$1=""</formula>
    </cfRule>
    <cfRule type="expression" dxfId="221" priority="1322">
      <formula>AJ$1&lt;&gt;""</formula>
    </cfRule>
    <cfRule type="expression" dxfId="220" priority="1323">
      <formula>AJ2="R"</formula>
    </cfRule>
    <cfRule type="expression" dxfId="219" priority="1324">
      <formula>AJ2="V"</formula>
    </cfRule>
    <cfRule type="expression" dxfId="218" priority="1325">
      <formula>AJ2="G"</formula>
    </cfRule>
    <cfRule type="expression" dxfId="217" priority="1326">
      <formula>AJ2="U"</formula>
    </cfRule>
    <cfRule type="expression" dxfId="216" priority="1327">
      <formula>AJ2="P"</formula>
    </cfRule>
  </conditionalFormatting>
  <conditionalFormatting sqref="AF2:AI2">
    <cfRule type="expression" dxfId="215" priority="1312">
      <formula>AF2="F"</formula>
    </cfRule>
    <cfRule type="expression" dxfId="214" priority="1313">
      <formula>AF$1=""</formula>
    </cfRule>
    <cfRule type="expression" dxfId="213" priority="1314">
      <formula>AF$1&lt;&gt;""</formula>
    </cfRule>
    <cfRule type="expression" dxfId="212" priority="1315">
      <formula>AF2="R"</formula>
    </cfRule>
    <cfRule type="expression" dxfId="211" priority="1316">
      <formula>AF2="V"</formula>
    </cfRule>
    <cfRule type="expression" dxfId="210" priority="1317">
      <formula>AF2="G"</formula>
    </cfRule>
    <cfRule type="expression" dxfId="209" priority="1318">
      <formula>AF2="U"</formula>
    </cfRule>
    <cfRule type="expression" dxfId="208" priority="1319">
      <formula>AF2="P"</formula>
    </cfRule>
  </conditionalFormatting>
  <conditionalFormatting sqref="AB2:AE2">
    <cfRule type="expression" dxfId="207" priority="1304">
      <formula>AB2="F"</formula>
    </cfRule>
    <cfRule type="expression" dxfId="206" priority="1305">
      <formula>AB$1=""</formula>
    </cfRule>
    <cfRule type="expression" dxfId="205" priority="1306">
      <formula>AB$1&lt;&gt;""</formula>
    </cfRule>
    <cfRule type="expression" dxfId="204" priority="1307">
      <formula>AB2="R"</formula>
    </cfRule>
    <cfRule type="expression" dxfId="203" priority="1308">
      <formula>AB2="V"</formula>
    </cfRule>
    <cfRule type="expression" dxfId="202" priority="1309">
      <formula>AB2="G"</formula>
    </cfRule>
    <cfRule type="expression" dxfId="201" priority="1310">
      <formula>AB2="U"</formula>
    </cfRule>
    <cfRule type="expression" dxfId="200" priority="1311">
      <formula>AB2="P"</formula>
    </cfRule>
  </conditionalFormatting>
  <conditionalFormatting sqref="X2:AA2">
    <cfRule type="expression" dxfId="199" priority="1296">
      <formula>X2="F"</formula>
    </cfRule>
    <cfRule type="expression" dxfId="198" priority="1297">
      <formula>X$1=""</formula>
    </cfRule>
    <cfRule type="expression" dxfId="197" priority="1298">
      <formula>X$1&lt;&gt;""</formula>
    </cfRule>
    <cfRule type="expression" dxfId="196" priority="1299">
      <formula>X2="R"</formula>
    </cfRule>
    <cfRule type="expression" dxfId="195" priority="1300">
      <formula>X2="V"</formula>
    </cfRule>
    <cfRule type="expression" dxfId="194" priority="1301">
      <formula>X2="G"</formula>
    </cfRule>
    <cfRule type="expression" dxfId="193" priority="1302">
      <formula>X2="U"</formula>
    </cfRule>
    <cfRule type="expression" dxfId="192" priority="1303">
      <formula>X2="P"</formula>
    </cfRule>
  </conditionalFormatting>
  <conditionalFormatting sqref="T2:W2">
    <cfRule type="expression" dxfId="191" priority="1288">
      <formula>T2="F"</formula>
    </cfRule>
    <cfRule type="expression" dxfId="190" priority="1289">
      <formula>T$1=""</formula>
    </cfRule>
    <cfRule type="expression" dxfId="189" priority="1290">
      <formula>T$1&lt;&gt;""</formula>
    </cfRule>
    <cfRule type="expression" dxfId="188" priority="1291">
      <formula>T2="R"</formula>
    </cfRule>
    <cfRule type="expression" dxfId="187" priority="1292">
      <formula>T2="V"</formula>
    </cfRule>
    <cfRule type="expression" dxfId="186" priority="1293">
      <formula>T2="G"</formula>
    </cfRule>
    <cfRule type="expression" dxfId="185" priority="1294">
      <formula>T2="U"</formula>
    </cfRule>
    <cfRule type="expression" dxfId="184" priority="1295">
      <formula>T2="P"</formula>
    </cfRule>
  </conditionalFormatting>
  <conditionalFormatting sqref="P2:S2">
    <cfRule type="expression" dxfId="183" priority="1280">
      <formula>P2="F"</formula>
    </cfRule>
    <cfRule type="expression" dxfId="182" priority="1281">
      <formula>P$1=""</formula>
    </cfRule>
    <cfRule type="expression" dxfId="181" priority="1282">
      <formula>P$1&lt;&gt;""</formula>
    </cfRule>
    <cfRule type="expression" dxfId="180" priority="1283">
      <formula>P2="R"</formula>
    </cfRule>
    <cfRule type="expression" dxfId="179" priority="1284">
      <formula>P2="V"</formula>
    </cfRule>
    <cfRule type="expression" dxfId="178" priority="1285">
      <formula>P2="G"</formula>
    </cfRule>
    <cfRule type="expression" dxfId="177" priority="1286">
      <formula>P2="U"</formula>
    </cfRule>
    <cfRule type="expression" dxfId="176" priority="1287">
      <formula>P2="P"</formula>
    </cfRule>
  </conditionalFormatting>
  <conditionalFormatting sqref="L2:O2">
    <cfRule type="expression" dxfId="175" priority="1272">
      <formula>L2="F"</formula>
    </cfRule>
    <cfRule type="expression" dxfId="174" priority="1273">
      <formula>L$1=""</formula>
    </cfRule>
    <cfRule type="expression" dxfId="173" priority="1274">
      <formula>L$1&lt;&gt;""</formula>
    </cfRule>
    <cfRule type="expression" dxfId="172" priority="1275">
      <formula>L2="R"</formula>
    </cfRule>
    <cfRule type="expression" dxfId="171" priority="1276">
      <formula>L2="V"</formula>
    </cfRule>
    <cfRule type="expression" dxfId="170" priority="1277">
      <formula>L2="G"</formula>
    </cfRule>
    <cfRule type="expression" dxfId="169" priority="1278">
      <formula>L2="U"</formula>
    </cfRule>
    <cfRule type="expression" dxfId="168" priority="1279">
      <formula>L2="P"</formula>
    </cfRule>
  </conditionalFormatting>
  <conditionalFormatting sqref="H2:K2">
    <cfRule type="expression" dxfId="167" priority="1264">
      <formula>H2="F"</formula>
    </cfRule>
    <cfRule type="expression" dxfId="166" priority="1265">
      <formula>H$1=""</formula>
    </cfRule>
    <cfRule type="expression" dxfId="165" priority="1266">
      <formula>H$1&lt;&gt;""</formula>
    </cfRule>
    <cfRule type="expression" dxfId="164" priority="1267">
      <formula>H2="R"</formula>
    </cfRule>
    <cfRule type="expression" dxfId="163" priority="1268">
      <formula>H2="V"</formula>
    </cfRule>
    <cfRule type="expression" dxfId="162" priority="1269">
      <formula>H2="G"</formula>
    </cfRule>
    <cfRule type="expression" dxfId="161" priority="1270">
      <formula>H2="U"</formula>
    </cfRule>
    <cfRule type="expression" dxfId="160" priority="1271">
      <formula>H2="P"</formula>
    </cfRule>
  </conditionalFormatting>
  <conditionalFormatting sqref="D1:F1">
    <cfRule type="expression" dxfId="159" priority="1256">
      <formula>D1="F"</formula>
    </cfRule>
    <cfRule type="expression" dxfId="158" priority="1257">
      <formula>D$1=""</formula>
    </cfRule>
    <cfRule type="expression" dxfId="157" priority="1258">
      <formula>D$1&lt;&gt;""</formula>
    </cfRule>
    <cfRule type="expression" dxfId="156" priority="1259">
      <formula>D1="R"</formula>
    </cfRule>
    <cfRule type="expression" dxfId="155" priority="1260">
      <formula>D1="V"</formula>
    </cfRule>
    <cfRule type="expression" dxfId="154" priority="1261">
      <formula>D1="G"</formula>
    </cfRule>
    <cfRule type="expression" dxfId="153" priority="1262">
      <formula>D1="U"</formula>
    </cfRule>
    <cfRule type="expression" dxfId="152" priority="1263">
      <formula>D1="P"</formula>
    </cfRule>
  </conditionalFormatting>
  <conditionalFormatting sqref="B2:F2">
    <cfRule type="expression" dxfId="151" priority="1248">
      <formula>B2="F"</formula>
    </cfRule>
    <cfRule type="expression" dxfId="150" priority="1249">
      <formula>B$1=""</formula>
    </cfRule>
    <cfRule type="expression" dxfId="149" priority="1250">
      <formula>B$1&lt;&gt;""</formula>
    </cfRule>
    <cfRule type="expression" dxfId="148" priority="1251">
      <formula>B2="R"</formula>
    </cfRule>
    <cfRule type="expression" dxfId="147" priority="1252">
      <formula>B2="V"</formula>
    </cfRule>
    <cfRule type="expression" dxfId="146" priority="1253">
      <formula>B2="G"</formula>
    </cfRule>
    <cfRule type="expression" dxfId="145" priority="1254">
      <formula>B2="U"</formula>
    </cfRule>
    <cfRule type="expression" dxfId="144" priority="1255">
      <formula>B2="P"</formula>
    </cfRule>
  </conditionalFormatting>
  <conditionalFormatting sqref="B3:C3">
    <cfRule type="expression" dxfId="143" priority="1240">
      <formula>B3="F"</formula>
    </cfRule>
    <cfRule type="expression" dxfId="142" priority="1241">
      <formula>B$1=""</formula>
    </cfRule>
    <cfRule type="expression" dxfId="141" priority="1242">
      <formula>B$1&lt;&gt;""</formula>
    </cfRule>
    <cfRule type="expression" dxfId="140" priority="1243">
      <formula>B3="R"</formula>
    </cfRule>
    <cfRule type="expression" dxfId="139" priority="1244">
      <formula>B3="V"</formula>
    </cfRule>
    <cfRule type="expression" dxfId="138" priority="1245">
      <formula>B3="G"</formula>
    </cfRule>
    <cfRule type="expression" dxfId="137" priority="1246">
      <formula>B3="U"</formula>
    </cfRule>
    <cfRule type="expression" dxfId="136" priority="1247">
      <formula>B3="P"</formula>
    </cfRule>
  </conditionalFormatting>
  <conditionalFormatting sqref="B5:C5">
    <cfRule type="expression" dxfId="135" priority="1232">
      <formula>B5="F"</formula>
    </cfRule>
    <cfRule type="expression" dxfId="134" priority="1233">
      <formula>B$1=""</formula>
    </cfRule>
    <cfRule type="expression" dxfId="133" priority="1234">
      <formula>B$1&lt;&gt;""</formula>
    </cfRule>
    <cfRule type="expression" dxfId="132" priority="1235">
      <formula>B5="R"</formula>
    </cfRule>
    <cfRule type="expression" dxfId="131" priority="1236">
      <formula>B5="V"</formula>
    </cfRule>
    <cfRule type="expression" dxfId="130" priority="1237">
      <formula>B5="G"</formula>
    </cfRule>
    <cfRule type="expression" dxfId="129" priority="1238">
      <formula>B5="U"</formula>
    </cfRule>
    <cfRule type="expression" dxfId="128" priority="1239">
      <formula>B5="P"</formula>
    </cfRule>
  </conditionalFormatting>
  <conditionalFormatting sqref="D3:G3">
    <cfRule type="expression" dxfId="127" priority="1200">
      <formula>D3="F"</formula>
    </cfRule>
    <cfRule type="expression" dxfId="126" priority="1201">
      <formula>D$1=""</formula>
    </cfRule>
    <cfRule type="expression" dxfId="125" priority="1202">
      <formula>D$1&lt;&gt;""</formula>
    </cfRule>
    <cfRule type="expression" dxfId="124" priority="1203">
      <formula>D3="R"</formula>
    </cfRule>
    <cfRule type="expression" dxfId="123" priority="1204">
      <formula>D3="V"</formula>
    </cfRule>
    <cfRule type="expression" dxfId="122" priority="1205">
      <formula>D3="G"</formula>
    </cfRule>
    <cfRule type="expression" dxfId="121" priority="1206">
      <formula>D3="U"</formula>
    </cfRule>
    <cfRule type="expression" dxfId="120" priority="1207">
      <formula>D3="P"</formula>
    </cfRule>
  </conditionalFormatting>
  <conditionalFormatting sqref="AL7">
    <cfRule type="expression" dxfId="119" priority="1117">
      <formula>WEEKDAY(AJ$2,3)&gt;=WEEKDAY(AN$2,3)</formula>
    </cfRule>
  </conditionalFormatting>
  <conditionalFormatting sqref="AP7">
    <cfRule type="expression" dxfId="118" priority="1116">
      <formula>WEEKDAY(AN$2,3)&gt;=WEEKDAY(AR$2,3)</formula>
    </cfRule>
  </conditionalFormatting>
  <conditionalFormatting sqref="AT7">
    <cfRule type="expression" dxfId="117" priority="1115">
      <formula>WEEKDAY(AR$2,3)&gt;=WEEKDAY(AV$2,3)</formula>
    </cfRule>
  </conditionalFormatting>
  <conditionalFormatting sqref="AX7">
    <cfRule type="expression" dxfId="116" priority="1114">
      <formula>WEEKDAY(AV$2,3)&gt;=WEEKDAY(AZ$2,3)</formula>
    </cfRule>
  </conditionalFormatting>
  <conditionalFormatting sqref="BB7">
    <cfRule type="expression" dxfId="115" priority="1113">
      <formula>WEEKDAY(AZ$2,3)&gt;=WEEKDAY(BD$2,3)</formula>
    </cfRule>
  </conditionalFormatting>
  <conditionalFormatting sqref="J6">
    <cfRule type="expression" dxfId="114" priority="145">
      <formula>J6="F"</formula>
    </cfRule>
    <cfRule type="expression" dxfId="113" priority="146">
      <formula>H$1=""</formula>
    </cfRule>
    <cfRule type="expression" dxfId="112" priority="147">
      <formula>H$1&lt;&gt;""</formula>
    </cfRule>
    <cfRule type="expression" dxfId="111" priority="148">
      <formula>J6="R"</formula>
    </cfRule>
    <cfRule type="expression" dxfId="110" priority="149">
      <formula>J6="V"</formula>
    </cfRule>
    <cfRule type="expression" dxfId="109" priority="150">
      <formula>J6="G"</formula>
    </cfRule>
    <cfRule type="expression" dxfId="108" priority="151">
      <formula>J6="U"</formula>
    </cfRule>
    <cfRule type="expression" dxfId="107" priority="152">
      <formula>J6="P"</formula>
    </cfRule>
  </conditionalFormatting>
  <conditionalFormatting sqref="J6">
    <cfRule type="expression" dxfId="106" priority="144">
      <formula>WEEKDAY(H$2,3)&gt;=WEEKDAY(L$2,3)</formula>
    </cfRule>
  </conditionalFormatting>
  <conditionalFormatting sqref="N6">
    <cfRule type="expression" dxfId="105" priority="136">
      <formula>N6="F"</formula>
    </cfRule>
    <cfRule type="expression" dxfId="104" priority="137">
      <formula>L$1=""</formula>
    </cfRule>
    <cfRule type="expression" dxfId="103" priority="138">
      <formula>L$1&lt;&gt;""</formula>
    </cfRule>
    <cfRule type="expression" dxfId="102" priority="139">
      <formula>N6="R"</formula>
    </cfRule>
    <cfRule type="expression" dxfId="101" priority="140">
      <formula>N6="V"</formula>
    </cfRule>
    <cfRule type="expression" dxfId="100" priority="141">
      <formula>N6="G"</formula>
    </cfRule>
    <cfRule type="expression" dxfId="99" priority="142">
      <formula>N6="U"</formula>
    </cfRule>
    <cfRule type="expression" dxfId="98" priority="143">
      <formula>N6="P"</formula>
    </cfRule>
  </conditionalFormatting>
  <conditionalFormatting sqref="N6">
    <cfRule type="expression" dxfId="97" priority="135">
      <formula>WEEKDAY(L$2,3)&gt;=WEEKDAY(P$2,3)</formula>
    </cfRule>
  </conditionalFormatting>
  <conditionalFormatting sqref="R6">
    <cfRule type="expression" dxfId="96" priority="127">
      <formula>R6="F"</formula>
    </cfRule>
    <cfRule type="expression" dxfId="95" priority="128">
      <formula>P$1=""</formula>
    </cfRule>
    <cfRule type="expression" dxfId="94" priority="129">
      <formula>P$1&lt;&gt;""</formula>
    </cfRule>
    <cfRule type="expression" dxfId="93" priority="130">
      <formula>R6="R"</formula>
    </cfRule>
    <cfRule type="expression" dxfId="92" priority="131">
      <formula>R6="V"</formula>
    </cfRule>
    <cfRule type="expression" dxfId="91" priority="132">
      <formula>R6="G"</formula>
    </cfRule>
    <cfRule type="expression" dxfId="90" priority="133">
      <formula>R6="U"</formula>
    </cfRule>
    <cfRule type="expression" dxfId="89" priority="134">
      <formula>R6="P"</formula>
    </cfRule>
  </conditionalFormatting>
  <conditionalFormatting sqref="R6">
    <cfRule type="expression" dxfId="88" priority="126">
      <formula>WEEKDAY(P$2,3)&gt;=WEEKDAY(T$2,3)</formula>
    </cfRule>
  </conditionalFormatting>
  <conditionalFormatting sqref="AL6">
    <cfRule type="expression" dxfId="87" priority="82">
      <formula>AL6="F"</formula>
    </cfRule>
    <cfRule type="expression" dxfId="86" priority="83">
      <formula>AJ$1=""</formula>
    </cfRule>
    <cfRule type="expression" dxfId="85" priority="84">
      <formula>AJ$1&lt;&gt;""</formula>
    </cfRule>
    <cfRule type="expression" dxfId="84" priority="85">
      <formula>AL6="R"</formula>
    </cfRule>
    <cfRule type="expression" dxfId="83" priority="86">
      <formula>AL6="V"</formula>
    </cfRule>
    <cfRule type="expression" dxfId="82" priority="87">
      <formula>AL6="G"</formula>
    </cfRule>
    <cfRule type="expression" dxfId="81" priority="88">
      <formula>AL6="U"</formula>
    </cfRule>
    <cfRule type="expression" dxfId="80" priority="89">
      <formula>AL6="P"</formula>
    </cfRule>
  </conditionalFormatting>
  <conditionalFormatting sqref="AL6">
    <cfRule type="expression" dxfId="79" priority="81">
      <formula>WEEKDAY(AJ$2,3)&gt;=WEEKDAY(AN$2,3)</formula>
    </cfRule>
  </conditionalFormatting>
  <conditionalFormatting sqref="AP6">
    <cfRule type="expression" dxfId="78" priority="73">
      <formula>AP6="F"</formula>
    </cfRule>
    <cfRule type="expression" dxfId="77" priority="74">
      <formula>AN$1=""</formula>
    </cfRule>
    <cfRule type="expression" dxfId="76" priority="75">
      <formula>AN$1&lt;&gt;""</formula>
    </cfRule>
    <cfRule type="expression" dxfId="75" priority="76">
      <formula>AP6="R"</formula>
    </cfRule>
    <cfRule type="expression" dxfId="74" priority="77">
      <formula>AP6="V"</formula>
    </cfRule>
    <cfRule type="expression" dxfId="73" priority="78">
      <formula>AP6="G"</formula>
    </cfRule>
    <cfRule type="expression" dxfId="72" priority="79">
      <formula>AP6="U"</formula>
    </cfRule>
    <cfRule type="expression" dxfId="71" priority="80">
      <formula>AP6="P"</formula>
    </cfRule>
  </conditionalFormatting>
  <conditionalFormatting sqref="AP6">
    <cfRule type="expression" dxfId="70" priority="72">
      <formula>WEEKDAY(AN$2,3)&gt;=WEEKDAY(AR$2,3)</formula>
    </cfRule>
  </conditionalFormatting>
  <conditionalFormatting sqref="AT6">
    <cfRule type="expression" dxfId="69" priority="64">
      <formula>AT6="F"</formula>
    </cfRule>
    <cfRule type="expression" dxfId="68" priority="65">
      <formula>AR$1=""</formula>
    </cfRule>
    <cfRule type="expression" dxfId="67" priority="66">
      <formula>AR$1&lt;&gt;""</formula>
    </cfRule>
    <cfRule type="expression" dxfId="66" priority="67">
      <formula>AT6="R"</formula>
    </cfRule>
    <cfRule type="expression" dxfId="65" priority="68">
      <formula>AT6="V"</formula>
    </cfRule>
    <cfRule type="expression" dxfId="64" priority="69">
      <formula>AT6="G"</formula>
    </cfRule>
    <cfRule type="expression" dxfId="63" priority="70">
      <formula>AT6="U"</formula>
    </cfRule>
    <cfRule type="expression" dxfId="62" priority="71">
      <formula>AT6="P"</formula>
    </cfRule>
  </conditionalFormatting>
  <conditionalFormatting sqref="AT6">
    <cfRule type="expression" dxfId="61" priority="63">
      <formula>WEEKDAY(AR$2,3)&gt;=WEEKDAY(AV$2,3)</formula>
    </cfRule>
  </conditionalFormatting>
  <conditionalFormatting sqref="AX6">
    <cfRule type="expression" dxfId="60" priority="55">
      <formula>AX6="F"</formula>
    </cfRule>
    <cfRule type="expression" dxfId="59" priority="56">
      <formula>AV$1=""</formula>
    </cfRule>
    <cfRule type="expression" dxfId="58" priority="57">
      <formula>AV$1&lt;&gt;""</formula>
    </cfRule>
    <cfRule type="expression" dxfId="57" priority="58">
      <formula>AX6="R"</formula>
    </cfRule>
    <cfRule type="expression" dxfId="56" priority="59">
      <formula>AX6="V"</formula>
    </cfRule>
    <cfRule type="expression" dxfId="55" priority="60">
      <formula>AX6="G"</formula>
    </cfRule>
    <cfRule type="expression" dxfId="54" priority="61">
      <formula>AX6="U"</formula>
    </cfRule>
    <cfRule type="expression" dxfId="53" priority="62">
      <formula>AX6="P"</formula>
    </cfRule>
  </conditionalFormatting>
  <conditionalFormatting sqref="AX6">
    <cfRule type="expression" dxfId="52" priority="54">
      <formula>WEEKDAY(AV$2,3)&gt;=WEEKDAY(AZ$2,3)</formula>
    </cfRule>
  </conditionalFormatting>
  <conditionalFormatting sqref="BB6">
    <cfRule type="expression" dxfId="51" priority="46">
      <formula>BB6="F"</formula>
    </cfRule>
    <cfRule type="expression" dxfId="50" priority="47">
      <formula>AZ$1=""</formula>
    </cfRule>
    <cfRule type="expression" dxfId="49" priority="48">
      <formula>AZ$1&lt;&gt;""</formula>
    </cfRule>
    <cfRule type="expression" dxfId="48" priority="49">
      <formula>BB6="R"</formula>
    </cfRule>
    <cfRule type="expression" dxfId="47" priority="50">
      <formula>BB6="V"</formula>
    </cfRule>
    <cfRule type="expression" dxfId="46" priority="51">
      <formula>BB6="G"</formula>
    </cfRule>
    <cfRule type="expression" dxfId="45" priority="52">
      <formula>BB6="U"</formula>
    </cfRule>
    <cfRule type="expression" dxfId="44" priority="53">
      <formula>BB6="P"</formula>
    </cfRule>
  </conditionalFormatting>
  <conditionalFormatting sqref="BB6">
    <cfRule type="expression" dxfId="43" priority="45">
      <formula>WEEKDAY(AZ$2,3)&gt;=WEEKDAY(BD$2,3)</formula>
    </cfRule>
  </conditionalFormatting>
  <conditionalFormatting sqref="N7">
    <cfRule type="expression" dxfId="42" priority="43">
      <formula>WEEKDAY(L$2,3)&gt;=WEEKDAY(P$2,3)</formula>
    </cfRule>
  </conditionalFormatting>
  <conditionalFormatting sqref="R7">
    <cfRule type="expression" dxfId="41" priority="42">
      <formula>WEEKDAY(P$2,3)&gt;=WEEKDAY(T$2,3)</formula>
    </cfRule>
  </conditionalFormatting>
  <conditionalFormatting sqref="J7">
    <cfRule type="expression" dxfId="40" priority="41">
      <formula>WEEKDAY(H$2,3)&gt;=WEEKDAY(L$2,3)</formula>
    </cfRule>
  </conditionalFormatting>
  <conditionalFormatting sqref="V7">
    <cfRule type="expression" dxfId="39" priority="40">
      <formula>WEEKDAY(T$2,3)&gt;=WEEKDAY(X$2,3)</formula>
    </cfRule>
  </conditionalFormatting>
  <conditionalFormatting sqref="V6">
    <cfRule type="expression" dxfId="38" priority="32">
      <formula>V6="F"</formula>
    </cfRule>
    <cfRule type="expression" dxfId="37" priority="33">
      <formula>T$1=""</formula>
    </cfRule>
    <cfRule type="expression" dxfId="36" priority="34">
      <formula>T$1&lt;&gt;""</formula>
    </cfRule>
    <cfRule type="expression" dxfId="35" priority="35">
      <formula>V6="R"</formula>
    </cfRule>
    <cfRule type="expression" dxfId="34" priority="36">
      <formula>V6="V"</formula>
    </cfRule>
    <cfRule type="expression" dxfId="33" priority="37">
      <formula>V6="G"</formula>
    </cfRule>
    <cfRule type="expression" dxfId="32" priority="38">
      <formula>V6="U"</formula>
    </cfRule>
    <cfRule type="expression" dxfId="31" priority="39">
      <formula>V6="P"</formula>
    </cfRule>
  </conditionalFormatting>
  <conditionalFormatting sqref="V6">
    <cfRule type="expression" dxfId="30" priority="31">
      <formula>WEEKDAY(T$2,3)&gt;=WEEKDAY(X$2,3)</formula>
    </cfRule>
  </conditionalFormatting>
  <conditionalFormatting sqref="Z7">
    <cfRule type="expression" dxfId="29" priority="30">
      <formula>WEEKDAY(X$2,3)&gt;=WEEKDAY(AB$2,3)</formula>
    </cfRule>
  </conditionalFormatting>
  <conditionalFormatting sqref="AD7">
    <cfRule type="expression" dxfId="28" priority="29">
      <formula>WEEKDAY(AB$2,3)&gt;=WEEKDAY(AF$2,3)</formula>
    </cfRule>
  </conditionalFormatting>
  <conditionalFormatting sqref="AH7">
    <cfRule type="expression" dxfId="27" priority="28">
      <formula>WEEKDAY(AF$2,3)&gt;=WEEKDAY(AJ$2,3)</formula>
    </cfRule>
  </conditionalFormatting>
  <conditionalFormatting sqref="Z6">
    <cfRule type="expression" dxfId="26" priority="20">
      <formula>Z6="F"</formula>
    </cfRule>
    <cfRule type="expression" dxfId="25" priority="21">
      <formula>X$1=""</formula>
    </cfRule>
    <cfRule type="expression" dxfId="24" priority="22">
      <formula>X$1&lt;&gt;""</formula>
    </cfRule>
    <cfRule type="expression" dxfId="23" priority="23">
      <formula>Z6="R"</formula>
    </cfRule>
    <cfRule type="expression" dxfId="22" priority="24">
      <formula>Z6="V"</formula>
    </cfRule>
    <cfRule type="expression" dxfId="21" priority="25">
      <formula>Z6="G"</formula>
    </cfRule>
    <cfRule type="expression" dxfId="20" priority="26">
      <formula>Z6="U"</formula>
    </cfRule>
    <cfRule type="expression" dxfId="19" priority="27">
      <formula>Z6="P"</formula>
    </cfRule>
  </conditionalFormatting>
  <conditionalFormatting sqref="Z6">
    <cfRule type="expression" dxfId="18" priority="19">
      <formula>WEEKDAY(X$2,3)&gt;=WEEKDAY(AB$2,3)</formula>
    </cfRule>
  </conditionalFormatting>
  <conditionalFormatting sqref="AD6">
    <cfRule type="expression" dxfId="17" priority="11">
      <formula>AD6="F"</formula>
    </cfRule>
    <cfRule type="expression" dxfId="16" priority="12">
      <formula>AB$1=""</formula>
    </cfRule>
    <cfRule type="expression" dxfId="15" priority="13">
      <formula>AB$1&lt;&gt;""</formula>
    </cfRule>
    <cfRule type="expression" dxfId="14" priority="14">
      <formula>AD6="R"</formula>
    </cfRule>
    <cfRule type="expression" dxfId="13" priority="15">
      <formula>AD6="V"</formula>
    </cfRule>
    <cfRule type="expression" dxfId="12" priority="16">
      <formula>AD6="G"</formula>
    </cfRule>
    <cfRule type="expression" dxfId="11" priority="17">
      <formula>AD6="U"</formula>
    </cfRule>
    <cfRule type="expression" dxfId="10" priority="18">
      <formula>AD6="P"</formula>
    </cfRule>
  </conditionalFormatting>
  <conditionalFormatting sqref="AD6">
    <cfRule type="expression" dxfId="9" priority="10">
      <formula>WEEKDAY(AB$2,3)&gt;=WEEKDAY(AF$2,3)</formula>
    </cfRule>
  </conditionalFormatting>
  <conditionalFormatting sqref="AH6">
    <cfRule type="expression" dxfId="8" priority="2">
      <formula>AH6="F"</formula>
    </cfRule>
    <cfRule type="expression" dxfId="7" priority="3">
      <formula>AF$1=""</formula>
    </cfRule>
    <cfRule type="expression" dxfId="6" priority="4">
      <formula>AF$1&lt;&gt;""</formula>
    </cfRule>
    <cfRule type="expression" dxfId="5" priority="5">
      <formula>AH6="R"</formula>
    </cfRule>
    <cfRule type="expression" dxfId="4" priority="6">
      <formula>AH6="V"</formula>
    </cfRule>
    <cfRule type="expression" dxfId="3" priority="7">
      <formula>AH6="G"</formula>
    </cfRule>
    <cfRule type="expression" dxfId="2" priority="8">
      <formula>AH6="U"</formula>
    </cfRule>
    <cfRule type="expression" dxfId="1" priority="9">
      <formula>AH6="P"</formula>
    </cfRule>
  </conditionalFormatting>
  <conditionalFormatting sqref="AH6">
    <cfRule type="expression" dxfId="0" priority="1">
      <formula>WEEKDAY(AF$2,3)&gt;=WEEKDAY(AJ$2,3)</formula>
    </cfRule>
  </conditionalFormatting>
  <pageMargins left="0.7" right="0.7" top="0.78740157499999996" bottom="0.78740157499999996" header="0.3" footer="0.3"/>
  <pageSetup paperSize="9" scale="51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13"/>
  <sheetViews>
    <sheetView workbookViewId="0">
      <selection activeCell="B3" sqref="B3"/>
    </sheetView>
  </sheetViews>
  <sheetFormatPr baseColWidth="10" defaultRowHeight="15" x14ac:dyDescent="0.25"/>
  <cols>
    <col min="1" max="1" width="2.85546875" style="1" customWidth="1"/>
    <col min="2" max="3" width="18.85546875" style="1" customWidth="1"/>
    <col min="4" max="16384" width="11.42578125" style="1"/>
  </cols>
  <sheetData>
    <row r="1" spans="1:4" x14ac:dyDescent="0.25">
      <c r="B1" s="2"/>
      <c r="C1" s="15"/>
    </row>
    <row r="2" spans="1:4" ht="18.75" x14ac:dyDescent="0.3">
      <c r="B2" s="16" t="s">
        <v>7</v>
      </c>
      <c r="C2" s="14" t="s">
        <v>6</v>
      </c>
    </row>
    <row r="3" spans="1:4" x14ac:dyDescent="0.25">
      <c r="B3" s="37" t="s">
        <v>15</v>
      </c>
      <c r="C3" s="17" t="s">
        <v>13</v>
      </c>
    </row>
    <row r="4" spans="1:4" x14ac:dyDescent="0.25">
      <c r="B4" s="12" t="s">
        <v>16</v>
      </c>
      <c r="C4" s="18" t="s">
        <v>14</v>
      </c>
    </row>
    <row r="5" spans="1:4" x14ac:dyDescent="0.25">
      <c r="A5" s="11"/>
      <c r="B5" s="13" t="s">
        <v>19</v>
      </c>
      <c r="C5" s="17" t="s">
        <v>20</v>
      </c>
    </row>
    <row r="6" spans="1:4" x14ac:dyDescent="0.25">
      <c r="B6" s="4"/>
      <c r="C6" s="4"/>
    </row>
    <row r="8" spans="1:4" x14ac:dyDescent="0.25">
      <c r="B8" s="81" t="s">
        <v>18</v>
      </c>
      <c r="C8" s="82"/>
    </row>
    <row r="9" spans="1:4" x14ac:dyDescent="0.25">
      <c r="B9" s="5" t="s">
        <v>12</v>
      </c>
      <c r="C9" s="6">
        <f ca="1">SUM(Zeitplan!C:C)</f>
        <v>36</v>
      </c>
    </row>
    <row r="10" spans="1:4" x14ac:dyDescent="0.25">
      <c r="B10" s="7" t="s">
        <v>8</v>
      </c>
      <c r="C10" s="8">
        <f ca="1">C9/8</f>
        <v>4.5</v>
      </c>
    </row>
    <row r="11" spans="1:4" x14ac:dyDescent="0.25">
      <c r="B11" s="79" t="s">
        <v>17</v>
      </c>
      <c r="C11" s="80"/>
      <c r="D11" s="2"/>
    </row>
    <row r="12" spans="1:4" x14ac:dyDescent="0.25">
      <c r="B12" s="5" t="s">
        <v>12</v>
      </c>
      <c r="C12" s="8">
        <f ca="1">SUM(Zeitplan!D:D)</f>
        <v>42</v>
      </c>
    </row>
    <row r="13" spans="1:4" x14ac:dyDescent="0.25">
      <c r="B13" s="9" t="s">
        <v>8</v>
      </c>
      <c r="C13" s="10">
        <f ca="1">C12/8</f>
        <v>5.25</v>
      </c>
    </row>
  </sheetData>
  <sheetProtection selectLockedCells="1"/>
  <mergeCells count="2">
    <mergeCell ref="B11:C11"/>
    <mergeCell ref="B8:C8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Zeitplan</vt:lpstr>
      <vt:lpstr>Legende</vt:lpstr>
      <vt:lpstr>Zeitplan!Druckbereich</vt:lpstr>
      <vt:lpstr>Farbe_Ist</vt:lpstr>
      <vt:lpstr>Farbe_Soll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Heri</dc:creator>
  <cp:lastModifiedBy>Marcus Heri</cp:lastModifiedBy>
  <cp:lastPrinted>2018-04-25T07:19:05Z</cp:lastPrinted>
  <dcterms:created xsi:type="dcterms:W3CDTF">2017-08-15T11:51:57Z</dcterms:created>
  <dcterms:modified xsi:type="dcterms:W3CDTF">2018-06-29T08:36:37Z</dcterms:modified>
</cp:coreProperties>
</file>